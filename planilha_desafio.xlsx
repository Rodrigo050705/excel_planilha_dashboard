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201d1e1fd7b5ed/Documentos/Cursos Extras/Curso Dados Totvs/aulas_excel/"/>
    </mc:Choice>
  </mc:AlternateContent>
  <xr:revisionPtr revIDLastSave="111" documentId="8_{9ECDA12D-24D4-4BF1-AE3F-849351C899BF}" xr6:coauthVersionLast="47" xr6:coauthVersionMax="47" xr10:uidLastSave="{EE9C39C0-61BB-4CCE-9C59-8C72AFDDFF9C}"/>
  <bookViews>
    <workbookView xWindow="-108" yWindow="-108" windowWidth="23256" windowHeight="12456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calcPr calcId="191029"/>
  <pivotCaches>
    <pivotCache cacheId="13" r:id="rId5"/>
    <pivotCache cacheId="1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3" l="1"/>
  <c r="D11" i="3"/>
  <c r="D7" i="3"/>
  <c r="D5" i="4" l="1"/>
</calcChain>
</file>

<file path=xl/sharedStrings.xml><?xml version="1.0" encoding="utf-8"?>
<sst xmlns="http://schemas.openxmlformats.org/spreadsheetml/2006/main" count="2005" uniqueCount="319">
  <si>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</si>
  <si>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</si>
  <si>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</si>
  <si>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</si>
  <si>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</si>
  <si>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</si>
  <si>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</si>
  <si>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</si>
  <si>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</si>
  <si>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</si>
  <si>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</si>
  <si>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</si>
  <si>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</si>
  <si>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</si>
  <si>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</si>
  <si>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</si>
  <si>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</si>
  <si>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</si>
  <si>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</si>
  <si>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</si>
  <si>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</si>
  <si>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</si>
  <si>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</si>
  <si>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</si>
  <si>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</si>
  <si>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</si>
  <si>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</si>
  <si>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</si>
  <si>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</si>
  <si>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</si>
  <si>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</si>
  <si>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</si>
  <si>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</si>
  <si>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</si>
  <si>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</si>
  <si>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</si>
  <si>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</si>
  <si>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</si>
  <si>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</si>
  <si>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</si>
  <si>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</si>
  <si>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</si>
  <si>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</si>
  <si>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</si>
  <si>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</si>
  <si>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</si>
  <si>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</si>
  <si>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</si>
  <si>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</si>
  <si>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</si>
  <si>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</si>
  <si>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</si>
  <si>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</si>
  <si>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</si>
  <si>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</si>
  <si>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</si>
  <si>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</si>
  <si>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</si>
  <si>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</si>
  <si>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</si>
  <si>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</si>
  <si>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</si>
  <si>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</si>
  <si>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</si>
  <si>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</si>
  <si>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</si>
  <si>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</si>
  <si>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</si>
  <si>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</si>
  <si>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</si>
  <si>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</si>
  <si>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</si>
  <si>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</si>
  <si>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</si>
  <si>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</si>
  <si>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</si>
  <si>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</si>
  <si>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</si>
  <si>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</si>
  <si>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</si>
  <si>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</si>
  <si>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</si>
  <si>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</si>
  <si>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</si>
  <si>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</si>
  <si>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</si>
  <si>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</si>
  <si>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</si>
  <si>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</si>
  <si>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</si>
  <si>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</si>
  <si>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</si>
  <si>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</si>
  <si>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</si>
  <si>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</si>
  <si>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</si>
  <si>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</si>
  <si>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</si>
  <si>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</si>
  <si>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</si>
  <si>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</si>
  <si>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</si>
  <si>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</si>
  <si>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</si>
  <si>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</si>
  <si>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</si>
  <si>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</si>
  <si>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</si>
  <si>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</si>
  <si>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</si>
  <si>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</si>
  <si>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</si>
  <si>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</si>
  <si>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</si>
  <si>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</si>
  <si>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</si>
  <si>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</si>
  <si>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</si>
  <si>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</si>
  <si>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</si>
  <si>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</si>
  <si>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</si>
  <si>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</si>
  <si>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</si>
  <si>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</si>
  <si>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</si>
  <si>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</si>
  <si>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</si>
  <si>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</si>
  <si>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</si>
  <si>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</si>
  <si>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</si>
  <si>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</si>
  <si>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</si>
  <si>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</si>
  <si>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</si>
  <si>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</si>
  <si>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</si>
  <si>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</si>
  <si>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</si>
  <si>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</si>
  <si>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</si>
  <si>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</si>
  <si>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</si>
  <si>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</si>
  <si>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</si>
  <si>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</si>
  <si>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</si>
  <si>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</si>
  <si>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</si>
  <si>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</si>
  <si>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</si>
  <si>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</si>
  <si>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</si>
  <si>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</si>
  <si>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</si>
  <si>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</si>
  <si>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</si>
  <si>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</si>
  <si>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</si>
  <si>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</si>
  <si>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</si>
  <si>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</si>
  <si>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</si>
  <si>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</si>
  <si>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</si>
  <si>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</si>
  <si>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</si>
  <si>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</si>
  <si>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</si>
  <si>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</si>
  <si>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</si>
  <si>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</si>
  <si>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</si>
  <si>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</si>
  <si>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</si>
  <si>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</si>
  <si>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</si>
  <si>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</si>
  <si>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</si>
  <si>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</si>
  <si>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</si>
  <si>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</si>
  <si>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</si>
  <si>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</si>
  <si>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</si>
  <si>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</si>
  <si>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</si>
  <si>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</si>
  <si>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</si>
  <si>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</si>
  <si>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</si>
  <si>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</si>
  <si>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</si>
  <si>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</si>
  <si>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</si>
  <si>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</si>
  <si>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</si>
  <si>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</si>
  <si>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</si>
  <si>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</si>
  <si>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</si>
  <si>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</si>
  <si>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</si>
  <si>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</si>
  <si>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</si>
  <si>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</si>
  <si>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</si>
  <si>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</si>
  <si>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</si>
  <si>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</si>
  <si>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</si>
  <si>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</si>
  <si>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</si>
  <si>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</si>
  <si>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</si>
  <si>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</si>
  <si>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</si>
  <si>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</si>
  <si>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</si>
  <si>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</si>
  <si>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</si>
  <si>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</si>
  <si>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</si>
  <si>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</si>
  <si>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</si>
  <si>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</si>
  <si>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</si>
  <si>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</si>
  <si>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</si>
  <si>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</si>
  <si>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</si>
  <si>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</si>
  <si>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</si>
  <si>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</si>
  <si>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</si>
  <si>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</si>
  <si>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</si>
  <si>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</si>
  <si>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</si>
  <si>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</si>
  <si>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</si>
  <si>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</si>
  <si>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</si>
  <si>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</si>
  <si>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</si>
  <si>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</si>
  <si>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</si>
  <si>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</si>
  <si>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</si>
  <si>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</si>
  <si>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</si>
  <si>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</si>
  <si>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</si>
  <si>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</si>
  <si>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</si>
  <si>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</si>
  <si>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</si>
  <si>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</si>
  <si>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</si>
  <si>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</si>
  <si>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</si>
  <si>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</si>
  <si>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</si>
  <si>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</si>
  <si>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</si>
  <si>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</si>
  <si>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</si>
  <si>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</si>
  <si>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</si>
  <si>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</si>
  <si>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</si>
  <si>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</si>
  <si>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</si>
  <si>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</si>
  <si>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</si>
  <si>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</si>
  <si>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</si>
  <si>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</si>
  <si>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</si>
  <si>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</si>
  <si>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</si>
  <si>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</si>
  <si>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</si>
  <si>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</si>
  <si>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</si>
  <si>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</si>
  <si>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</si>
  <si>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</si>
  <si>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</si>
  <si>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</si>
  <si>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</si>
  <si>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</si>
  <si>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</si>
  <si>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</si>
  <si>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</si>
  <si>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</si>
  <si>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</si>
  <si>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</si>
  <si>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</si>
  <si>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</si>
  <si>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</si>
  <si>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</si>
  <si>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</si>
  <si>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</si>
  <si>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</si>
  <si>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</si>
  <si>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</si>
  <si>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</si>
  <si>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</si>
  <si>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</si>
  <si>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</si>
  <si>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</si>
  <si>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Bem-Vindo Gestor</t>
  </si>
  <si>
    <t>Contagem de Auto Renewal</t>
  </si>
  <si>
    <t>Rótulos de Linha</t>
  </si>
  <si>
    <t>Total Geral</t>
  </si>
  <si>
    <t>Soma de Total Value</t>
  </si>
  <si>
    <t>Xbox Game Pass No Auto Renewal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</si>
</sst>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8"/>
      <color rgb="FF22C55E"/>
      <name val="Aptos Narrow"/>
      <family val="2"/>
      <scheme val="minor"/>
    </font>
    <font>
      <sz val="24"/>
      <color rgb="FF22C55E"/>
      <name val="Aptos Narrow"/>
      <family val="2"/>
      <scheme val="minor"/>
    </font>
    <font>
      <sz val="24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4" fillId="4" borderId="0" xfId="0" applyFont="1" applyFill="1"/>
    <xf numFmtId="0" fontId="5" fillId="0" borderId="0" xfId="0" applyFont="1" applyAlignment="1">
      <alignment vertical="center"/>
    </xf>
    <xf numFmtId="0" fontId="0" fillId="4" borderId="0" xfId="0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6" fillId="7" borderId="0" xfId="0" applyFont="1" applyFill="1"/>
    <xf numFmtId="0" fontId="7" fillId="7" borderId="0" xfId="0" applyFont="1" applyFill="1"/>
    <xf numFmtId="0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0000"/>
      <color rgb="FF22C55E"/>
      <color rgb="FFE8E6E9"/>
      <color rgb="FF5BF6A8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[planilha_desafio.xlsx]C̳álculos!Tabela dinâmica1</c:name>
    <c:fmtId val="3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tint val="77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6">
              <a:shade val="7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C̳álculos!$B$4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9A5-4DEA-AE3B-1FC16FEBC296}"/>
              </c:ext>
            </c:extLst>
          </c:dPt>
          <c:dPt>
            <c:idx val="1"/>
            <c:bubble3D val="0"/>
            <c:spPr>
              <a:solidFill>
                <a:schemeClr val="accent6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9A5-4DEA-AE3B-1FC16FEBC296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C̳álculos!$A$5:$A$7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C̳álculos!$B$5:$B$7</c:f>
              <c:numCache>
                <c:formatCode>General</c:formatCode>
                <c:ptCount val="2"/>
                <c:pt idx="0">
                  <c:v>146</c:v>
                </c:pt>
                <c:pt idx="1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9A5-4DEA-AE3B-1FC16FEBC29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1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314325</xdr:colOff>
      <xdr:row>0</xdr:row>
      <xdr:rowOff>123825</xdr:rowOff>
    </xdr:from>
    <xdr:to>
      <xdr:col>0</xdr:col>
      <xdr:colOff>1009650</xdr:colOff>
      <xdr:row>0</xdr:row>
      <xdr:rowOff>786765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275D4CFF-B798-432F-BB2B-F80275E8BA3D}"/>
            </a:ext>
          </a:extLst>
        </xdr:cNvPr>
        <xdr:cNvSpPr/>
      </xdr:nvSpPr>
      <xdr:spPr>
        <a:xfrm>
          <a:off x="314325" y="123825"/>
          <a:ext cx="695325" cy="662940"/>
        </a:xfrm>
        <a:prstGeom prst="ellipse">
          <a:avLst/>
        </a:prstGeom>
        <a:blipFill>
          <a:blip xmlns:r="http://schemas.openxmlformats.org/officeDocument/2006/relationships" r:embed="rId1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2</xdr:col>
      <xdr:colOff>85725</xdr:colOff>
      <xdr:row>0</xdr:row>
      <xdr:rowOff>266699</xdr:rowOff>
    </xdr:from>
    <xdr:to>
      <xdr:col>2</xdr:col>
      <xdr:colOff>552450</xdr:colOff>
      <xdr:row>0</xdr:row>
      <xdr:rowOff>733424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AEFBEDB-1306-4B4A-A0F3-2974029266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68897" b="-6799"/>
        <a:stretch>
          <a:fillRect/>
        </a:stretch>
      </xdr:blipFill>
      <xdr:spPr>
        <a:xfrm>
          <a:off x="1704975" y="266699"/>
          <a:ext cx="466725" cy="466725"/>
        </a:xfrm>
        <a:prstGeom prst="rect">
          <a:avLst/>
        </a:prstGeom>
      </xdr:spPr>
    </xdr:pic>
    <xdr:clientData/>
  </xdr:twoCellAnchor>
  <xdr:twoCellAnchor editAs="absolute">
    <xdr:from>
      <xdr:col>2</xdr:col>
      <xdr:colOff>466725</xdr:colOff>
      <xdr:row>0</xdr:row>
      <xdr:rowOff>600075</xdr:rowOff>
    </xdr:from>
    <xdr:to>
      <xdr:col>12</xdr:col>
      <xdr:colOff>419100</xdr:colOff>
      <xdr:row>0</xdr:row>
      <xdr:rowOff>609600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9DAAA832-FC51-DD4A-A0AD-CA492EC27192}"/>
            </a:ext>
          </a:extLst>
        </xdr:cNvPr>
        <xdr:cNvCxnSpPr/>
      </xdr:nvCxnSpPr>
      <xdr:spPr>
        <a:xfrm flipV="1">
          <a:off x="2085975" y="600075"/>
          <a:ext cx="7258050" cy="9525"/>
        </a:xfrm>
        <a:prstGeom prst="line">
          <a:avLst/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133349</xdr:colOff>
      <xdr:row>7</xdr:row>
      <xdr:rowOff>114299</xdr:rowOff>
    </xdr:from>
    <xdr:to>
      <xdr:col>9</xdr:col>
      <xdr:colOff>142874</xdr:colOff>
      <xdr:row>24</xdr:row>
      <xdr:rowOff>19049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30FC169-6522-4277-A0C4-DD47CAF83D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3</xdr:col>
      <xdr:colOff>533400</xdr:colOff>
      <xdr:row>3</xdr:row>
      <xdr:rowOff>161924</xdr:rowOff>
    </xdr:from>
    <xdr:to>
      <xdr:col>3</xdr:col>
      <xdr:colOff>1552575</xdr:colOff>
      <xdr:row>4</xdr:row>
      <xdr:rowOff>333374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A09C4498-2565-2234-67E3-35FA56E6ACE9}"/>
            </a:ext>
          </a:extLst>
        </xdr:cNvPr>
        <xdr:cNvSpPr txBox="1"/>
      </xdr:nvSpPr>
      <xdr:spPr>
        <a:xfrm>
          <a:off x="2762250" y="1495424"/>
          <a:ext cx="101917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400"/>
            <a:t>R$</a:t>
          </a:r>
        </a:p>
      </xdr:txBody>
    </xdr:sp>
    <xdr:clientData/>
  </xdr:twoCellAnchor>
  <xdr:twoCellAnchor>
    <xdr:from>
      <xdr:col>3</xdr:col>
      <xdr:colOff>95249</xdr:colOff>
      <xdr:row>1</xdr:row>
      <xdr:rowOff>95250</xdr:rowOff>
    </xdr:from>
    <xdr:to>
      <xdr:col>5</xdr:col>
      <xdr:colOff>495299</xdr:colOff>
      <xdr:row>4</xdr:row>
      <xdr:rowOff>19050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DF0121A2-D9E9-2DA9-B971-653755279A33}"/>
            </a:ext>
          </a:extLst>
        </xdr:cNvPr>
        <xdr:cNvSpPr txBox="1"/>
      </xdr:nvSpPr>
      <xdr:spPr>
        <a:xfrm>
          <a:off x="2324099" y="1085850"/>
          <a:ext cx="2676525" cy="447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800"/>
            <a:t>No</a:t>
          </a:r>
          <a:r>
            <a:rPr lang="pt-BR" sz="2800" baseline="0"/>
            <a:t> Auto Renewal</a:t>
          </a:r>
          <a:endParaRPr lang="pt-BR" sz="28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Santos" refreshedDate="46154.61346724537" createdVersion="8" refreshedVersion="8" minRefreshableVersion="3" recordCount="293" xr:uid="{143D1548-8B71-4D3B-AC33-D9FCE5CAB823}">
  <cacheSource type="worksheet">
    <worksheetSource ref="A1:M294" sheet="B̳ases"/>
  </cacheSource>
  <cacheFields count="13">
    <cacheField name="Subscriber ID" numFmtId="0">
      <sharedItems containsSemiMixedTypes="0" containsString="0" containsNumber="1" containsInteger="1" minValue="3231" maxValue="3523"/>
    </cacheField>
    <cacheField name="Name" numFmtId="0">
      <sharedItems/>
    </cacheField>
    <cacheField name="Plan" numFmtId="0">
      <sharedItems/>
    </cacheField>
    <cacheField name="Start Date" numFmtId="14">
      <sharedItems containsSemiMixedTypes="0" containsNonDate="0" containsDate="1" containsString="0" minDate="2024-01-01T00:00:00" maxDate="2024-12-15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/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Santos" refreshedDate="46154.613504976849" createdVersion="8" refreshedVersion="8" minRefreshableVersion="3" recordCount="295" xr:uid="{6C901077-06DE-43C3-B138-F0F40CCBF99C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/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/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">
  <r>
    <n v="3231"/>
    <s v="João Silva"/>
    <s v="Ultimate"/>
    <d v="2024-01-01T00:00:00"/>
    <x v="0"/>
    <n v="15"/>
    <s v="Monthly"/>
    <s v="Yes"/>
    <n v="30"/>
    <s v="Yes"/>
    <n v="20"/>
    <n v="5"/>
    <n v="60"/>
  </r>
  <r>
    <n v="3232"/>
    <s v="Maria Oliveira"/>
    <s v="Core"/>
    <d v="2024-01-15T00:00:00"/>
    <x v="1"/>
    <n v="5"/>
    <s v="Annual"/>
    <s v="No"/>
    <s v="-"/>
    <s v="No"/>
    <n v="0"/>
    <n v="0"/>
    <n v="5"/>
  </r>
  <r>
    <n v="3233"/>
    <s v="Lucas Fernandes"/>
    <s v="Standard"/>
    <d v="2024-02-10T00:00:00"/>
    <x v="0"/>
    <n v="10"/>
    <s v="Quarterly"/>
    <s v="No"/>
    <s v="-"/>
    <s v="Yes"/>
    <n v="20"/>
    <n v="10"/>
    <n v="20"/>
  </r>
  <r>
    <n v="3234"/>
    <s v="Ana Souza"/>
    <s v="Ultimate"/>
    <d v="2024-02-20T00:00:00"/>
    <x v="1"/>
    <n v="15"/>
    <s v="Monthly"/>
    <s v="Yes"/>
    <n v="30"/>
    <s v="Yes"/>
    <n v="20"/>
    <n v="3"/>
    <n v="62"/>
  </r>
  <r>
    <n v="3235"/>
    <s v="Pedro Gonçalves"/>
    <s v="Core"/>
    <d v="2024-03-05T00:00:00"/>
    <x v="0"/>
    <n v="5"/>
    <s v="Monthly"/>
    <s v="No"/>
    <s v="-"/>
    <s v="No"/>
    <n v="0"/>
    <n v="1"/>
    <n v="4"/>
  </r>
  <r>
    <n v="3236"/>
    <s v="Felipe Costa"/>
    <s v="Standard"/>
    <d v="2024-03-02T00:00:00"/>
    <x v="1"/>
    <n v="10"/>
    <s v="Monthly"/>
    <s v="No"/>
    <s v="-"/>
    <s v="Yes"/>
    <n v="20"/>
    <n v="2"/>
    <n v="28"/>
  </r>
  <r>
    <n v="3237"/>
    <s v="Camila Ribeiro"/>
    <s v="Ultimate"/>
    <d v="2024-03-03T00:00:00"/>
    <x v="0"/>
    <n v="15"/>
    <s v="Quarterly"/>
    <s v="Yes"/>
    <n v="30"/>
    <s v="Yes"/>
    <n v="20"/>
    <n v="10"/>
    <n v="55"/>
  </r>
  <r>
    <n v="3238"/>
    <s v="André Mendes"/>
    <s v="Core"/>
    <d v="2024-03-04T00:00:00"/>
    <x v="0"/>
    <n v="5"/>
    <s v="Annual"/>
    <s v="No"/>
    <s v="-"/>
    <s v="No"/>
    <n v="0"/>
    <n v="0"/>
    <n v="5"/>
  </r>
  <r>
    <n v="3239"/>
    <s v="Sofia Almeida"/>
    <s v="Ultimate"/>
    <d v="2024-03-05T00:00:00"/>
    <x v="1"/>
    <n v="15"/>
    <s v="Monthly"/>
    <s v="Yes"/>
    <n v="30"/>
    <s v="Yes"/>
    <n v="20"/>
    <n v="5"/>
    <n v="60"/>
  </r>
  <r>
    <n v="3240"/>
    <s v="Bruno Martins"/>
    <s v="Standard"/>
    <d v="2024-03-06T00:00:00"/>
    <x v="0"/>
    <n v="10"/>
    <s v="Quarterly"/>
    <s v="No"/>
    <s v="-"/>
    <s v="Yes"/>
    <n v="20"/>
    <n v="15"/>
    <n v="15"/>
  </r>
  <r>
    <n v="3241"/>
    <s v="Rita Castro"/>
    <s v="Core"/>
    <d v="2024-03-07T00:00:00"/>
    <x v="1"/>
    <n v="5"/>
    <s v="Monthly"/>
    <s v="No"/>
    <s v="-"/>
    <s v="No"/>
    <n v="0"/>
    <n v="1"/>
    <n v="4"/>
  </r>
  <r>
    <n v="3242"/>
    <s v="Marco Túlio"/>
    <s v="Ultimate"/>
    <d v="2024-03-08T00:00:00"/>
    <x v="0"/>
    <n v="15"/>
    <s v="Annual"/>
    <s v="Yes"/>
    <n v="30"/>
    <s v="Yes"/>
    <n v="20"/>
    <n v="20"/>
    <n v="45"/>
  </r>
  <r>
    <n v="3243"/>
    <s v="Lívia Silveira"/>
    <s v="Standard"/>
    <d v="2024-03-09T00:00:00"/>
    <x v="1"/>
    <n v="10"/>
    <s v="Monthly"/>
    <s v="No"/>
    <s v="-"/>
    <s v="Yes"/>
    <n v="20"/>
    <n v="10"/>
    <n v="20"/>
  </r>
  <r>
    <n v="3244"/>
    <s v="Diogo Sousa"/>
    <s v="Core"/>
    <d v="2024-03-10T00:00:00"/>
    <x v="0"/>
    <n v="5"/>
    <s v="Quarterly"/>
    <s v="No"/>
    <s v="-"/>
    <s v="No"/>
    <n v="0"/>
    <n v="0"/>
    <n v="5"/>
  </r>
  <r>
    <n v="3245"/>
    <s v="Fernanda Lima"/>
    <s v="Ultimate"/>
    <d v="2024-03-11T00:00:00"/>
    <x v="1"/>
    <n v="15"/>
    <s v="Monthly"/>
    <s v="Yes"/>
    <n v="30"/>
    <s v="Yes"/>
    <n v="20"/>
    <n v="8"/>
    <n v="57"/>
  </r>
  <r>
    <n v="3246"/>
    <s v="Caio Pereira"/>
    <s v="Standard"/>
    <d v="2024-03-12T00:00:00"/>
    <x v="0"/>
    <n v="10"/>
    <s v="Annual"/>
    <s v="No"/>
    <s v="-"/>
    <s v="Yes"/>
    <n v="20"/>
    <n v="12"/>
    <n v="18"/>
  </r>
  <r>
    <n v="3247"/>
    <s v="Beatriz Gomes"/>
    <s v="Core"/>
    <d v="2024-03-13T00:00:00"/>
    <x v="1"/>
    <n v="5"/>
    <s v="Monthly"/>
    <s v="No"/>
    <s v="-"/>
    <s v="No"/>
    <n v="0"/>
    <n v="2"/>
    <n v="3"/>
  </r>
  <r>
    <n v="3248"/>
    <s v="Cesar Oliveira"/>
    <s v="Ultimate"/>
    <d v="2024-03-14T00:00:00"/>
    <x v="0"/>
    <n v="15"/>
    <s v="Quarterly"/>
    <s v="Yes"/>
    <n v="30"/>
    <s v="Yes"/>
    <n v="20"/>
    <n v="7"/>
    <n v="58"/>
  </r>
  <r>
    <n v="3249"/>
    <s v="Débora Machado"/>
    <s v="Standard"/>
    <d v="2024-03-15T00:00:00"/>
    <x v="1"/>
    <n v="10"/>
    <s v="Monthly"/>
    <s v="No"/>
    <s v="-"/>
    <s v="Yes"/>
    <n v="20"/>
    <n v="5"/>
    <n v="25"/>
  </r>
  <r>
    <n v="3250"/>
    <s v="Eduardo Vargas"/>
    <s v="Core"/>
    <d v="2024-03-16T00:00:00"/>
    <x v="0"/>
    <n v="5"/>
    <s v="Annual"/>
    <s v="No"/>
    <s v="-"/>
    <s v="No"/>
    <n v="0"/>
    <n v="0"/>
    <n v="5"/>
  </r>
  <r>
    <n v="3251"/>
    <s v="Gabriela Santos"/>
    <s v="Ultimate"/>
    <d v="2024-03-17T00:00:00"/>
    <x v="1"/>
    <n v="15"/>
    <s v="Monthly"/>
    <s v="Yes"/>
    <n v="30"/>
    <s v="Yes"/>
    <n v="20"/>
    <n v="3"/>
    <n v="62"/>
  </r>
  <r>
    <n v="3252"/>
    <s v="Henrique Dias"/>
    <s v="Standard"/>
    <d v="2024-03-18T00:00:00"/>
    <x v="0"/>
    <n v="10"/>
    <s v="Quarterly"/>
    <s v="No"/>
    <s v="-"/>
    <s v="Yes"/>
    <n v="20"/>
    <n v="15"/>
    <n v="15"/>
  </r>
  <r>
    <n v="3253"/>
    <s v="Isabela Moreira"/>
    <s v="Core"/>
    <d v="2024-03-19T00:00:00"/>
    <x v="1"/>
    <n v="5"/>
    <s v="Monthly"/>
    <s v="No"/>
    <s v="-"/>
    <s v="No"/>
    <n v="0"/>
    <n v="1"/>
    <n v="4"/>
  </r>
  <r>
    <n v="3254"/>
    <s v="Joaquim Barbosa"/>
    <s v="Ultimate"/>
    <d v="2024-03-20T00:00:00"/>
    <x v="0"/>
    <n v="15"/>
    <s v="Annual"/>
    <s v="Yes"/>
    <n v="30"/>
    <s v="Yes"/>
    <n v="20"/>
    <n v="20"/>
    <n v="45"/>
  </r>
  <r>
    <n v="3255"/>
    <s v="Lara Rocha"/>
    <s v="Standard"/>
    <d v="2024-03-21T00:00:00"/>
    <x v="1"/>
    <n v="10"/>
    <s v="Monthly"/>
    <s v="No"/>
    <s v="-"/>
    <s v="Yes"/>
    <n v="20"/>
    <n v="10"/>
    <n v="20"/>
  </r>
  <r>
    <n v="3256"/>
    <s v="Matheus Silva"/>
    <s v="Core"/>
    <d v="2024-03-22T00:00:00"/>
    <x v="0"/>
    <n v="5"/>
    <s v="Quarterly"/>
    <s v="No"/>
    <s v="-"/>
    <s v="No"/>
    <n v="0"/>
    <n v="0"/>
    <n v="5"/>
  </r>
  <r>
    <n v="3257"/>
    <s v="Nicole Costa"/>
    <s v="Ultimate"/>
    <d v="2024-03-23T00:00:00"/>
    <x v="1"/>
    <n v="15"/>
    <s v="Monthly"/>
    <s v="Yes"/>
    <n v="30"/>
    <s v="Yes"/>
    <n v="20"/>
    <n v="5"/>
    <n v="60"/>
  </r>
  <r>
    <n v="3258"/>
    <s v="Otávio Mendonça"/>
    <s v="Standard"/>
    <d v="2024-03-24T00:00:00"/>
    <x v="0"/>
    <n v="10"/>
    <s v="Annual"/>
    <s v="No"/>
    <s v="-"/>
    <s v="Yes"/>
    <n v="20"/>
    <n v="15"/>
    <n v="15"/>
  </r>
  <r>
    <n v="3259"/>
    <s v="Paula Ferreira"/>
    <s v="Core"/>
    <d v="2024-03-25T00:00:00"/>
    <x v="1"/>
    <n v="5"/>
    <s v="Monthly"/>
    <s v="No"/>
    <s v="-"/>
    <s v="No"/>
    <n v="0"/>
    <n v="1"/>
    <n v="4"/>
  </r>
  <r>
    <n v="3260"/>
    <s v="Raquel Alves"/>
    <s v="Ultimate"/>
    <d v="2024-03-26T00:00:00"/>
    <x v="0"/>
    <n v="15"/>
    <s v="Quarterly"/>
    <s v="Yes"/>
    <n v="30"/>
    <s v="Yes"/>
    <n v="20"/>
    <n v="7"/>
    <n v="58"/>
  </r>
  <r>
    <n v="3261"/>
    <s v="Samuel Pires"/>
    <s v="Standard"/>
    <d v="2024-03-27T00:00:00"/>
    <x v="1"/>
    <n v="10"/>
    <s v="Monthly"/>
    <s v="No"/>
    <s v="-"/>
    <s v="Yes"/>
    <n v="20"/>
    <n v="10"/>
    <n v="20"/>
  </r>
  <r>
    <n v="3262"/>
    <s v="Tânia Barros"/>
    <s v="Core"/>
    <d v="2024-03-28T00:00:00"/>
    <x v="0"/>
    <n v="5"/>
    <s v="Annual"/>
    <s v="No"/>
    <s v="-"/>
    <s v="No"/>
    <n v="0"/>
    <n v="0"/>
    <n v="5"/>
  </r>
  <r>
    <n v="3263"/>
    <s v="Vinicius Lima"/>
    <s v="Ultimate"/>
    <d v="2024-03-29T00:00:00"/>
    <x v="1"/>
    <n v="15"/>
    <s v="Monthly"/>
    <s v="Yes"/>
    <n v="30"/>
    <s v="Yes"/>
    <n v="20"/>
    <n v="3"/>
    <n v="62"/>
  </r>
  <r>
    <n v="3264"/>
    <s v="Yasmin Teixeira"/>
    <s v="Standard"/>
    <d v="2024-03-30T00:00:00"/>
    <x v="0"/>
    <n v="10"/>
    <s v="Quarterly"/>
    <s v="No"/>
    <s v="-"/>
    <s v="Yes"/>
    <n v="20"/>
    <n v="15"/>
    <n v="15"/>
  </r>
  <r>
    <n v="3265"/>
    <s v="Zé Carlos"/>
    <s v="Core"/>
    <d v="2024-03-31T00:00:00"/>
    <x v="1"/>
    <n v="5"/>
    <s v="Monthly"/>
    <s v="No"/>
    <s v="-"/>
    <s v="No"/>
    <n v="0"/>
    <n v="1"/>
    <n v="4"/>
  </r>
  <r>
    <n v="3266"/>
    <s v="Amanda Nogueira"/>
    <s v="Core"/>
    <d v="2024-04-01T00:00:00"/>
    <x v="0"/>
    <n v="5"/>
    <s v="Monthly"/>
    <s v="No"/>
    <s v="-"/>
    <s v="No"/>
    <n v="0"/>
    <n v="0"/>
    <n v="5"/>
  </r>
  <r>
    <n v="3267"/>
    <s v="Bruno Cavalheiro"/>
    <s v="Ultimate"/>
    <d v="2024-04-02T00:00:00"/>
    <x v="1"/>
    <n v="15"/>
    <s v="Quarterly"/>
    <s v="Yes"/>
    <n v="30"/>
    <s v="Yes"/>
    <n v="20"/>
    <n v="7"/>
    <n v="58"/>
  </r>
  <r>
    <n v="3268"/>
    <s v="Carla Dias"/>
    <s v="Standard"/>
    <d v="2024-04-03T00:00:00"/>
    <x v="0"/>
    <n v="10"/>
    <s v="Annual"/>
    <s v="No"/>
    <s v="-"/>
    <s v="Yes"/>
    <n v="20"/>
    <n v="10"/>
    <n v="20"/>
  </r>
  <r>
    <n v="3269"/>
    <s v="Diego Fontes"/>
    <s v="Core"/>
    <d v="2024-04-04T00:00:00"/>
    <x v="1"/>
    <n v="5"/>
    <s v="Quarterly"/>
    <s v="No"/>
    <s v="-"/>
    <s v="No"/>
    <n v="0"/>
    <n v="1"/>
    <n v="4"/>
  </r>
  <r>
    <n v="3270"/>
    <s v="Eunice Lima"/>
    <s v="Ultimate"/>
    <d v="2024-04-05T00:00:00"/>
    <x v="0"/>
    <n v="15"/>
    <s v="Monthly"/>
    <s v="Yes"/>
    <n v="30"/>
    <s v="Yes"/>
    <n v="20"/>
    <n v="15"/>
    <n v="50"/>
  </r>
  <r>
    <n v="3271"/>
    <s v="Fábio Martins"/>
    <s v="Standard"/>
    <d v="2024-04-06T00:00:00"/>
    <x v="1"/>
    <n v="10"/>
    <s v="Monthly"/>
    <s v="No"/>
    <s v="-"/>
    <s v="Yes"/>
    <n v="20"/>
    <n v="5"/>
    <n v="25"/>
  </r>
  <r>
    <n v="3272"/>
    <s v="Gisele Araújo"/>
    <s v="Core"/>
    <d v="2024-04-07T00:00:00"/>
    <x v="0"/>
    <n v="5"/>
    <s v="Annual"/>
    <s v="No"/>
    <s v="-"/>
    <s v="No"/>
    <n v="0"/>
    <n v="0"/>
    <n v="5"/>
  </r>
  <r>
    <n v="3273"/>
    <s v="Hélio Castro"/>
    <s v="Ultimate"/>
    <d v="2024-04-08T00:00:00"/>
    <x v="1"/>
    <n v="15"/>
    <s v="Quarterly"/>
    <s v="Yes"/>
    <n v="30"/>
    <s v="Yes"/>
    <n v="20"/>
    <n v="20"/>
    <n v="45"/>
  </r>
  <r>
    <n v="3274"/>
    <s v="Ingrid Menezes"/>
    <s v="Standard"/>
    <d v="2024-04-09T00:00:00"/>
    <x v="0"/>
    <n v="10"/>
    <s v="Quarterly"/>
    <s v="No"/>
    <s v="-"/>
    <s v="Yes"/>
    <n v="20"/>
    <n v="12"/>
    <n v="18"/>
  </r>
  <r>
    <n v="3275"/>
    <s v="Jorge Baptista"/>
    <s v="Core"/>
    <d v="2024-04-10T00:00:00"/>
    <x v="1"/>
    <n v="5"/>
    <s v="Monthly"/>
    <s v="No"/>
    <s v="-"/>
    <s v="No"/>
    <n v="0"/>
    <n v="2"/>
    <n v="3"/>
  </r>
  <r>
    <n v="3276"/>
    <s v="Kléber Oliveira"/>
    <s v="Ultimate"/>
    <d v="2024-04-11T00:00:00"/>
    <x v="0"/>
    <n v="15"/>
    <s v="Annual"/>
    <s v="Yes"/>
    <n v="30"/>
    <s v="Yes"/>
    <n v="20"/>
    <n v="5"/>
    <n v="60"/>
  </r>
  <r>
    <n v="3277"/>
    <s v="Luciana Freitas"/>
    <s v="Standard"/>
    <d v="2024-04-12T00:00:00"/>
    <x v="1"/>
    <n v="10"/>
    <s v="Monthly"/>
    <s v="No"/>
    <s v="-"/>
    <s v="Yes"/>
    <n v="20"/>
    <n v="10"/>
    <n v="20"/>
  </r>
  <r>
    <n v="3278"/>
    <s v="Márcia Eller"/>
    <s v="Core"/>
    <d v="2024-04-13T00:00:00"/>
    <x v="0"/>
    <n v="5"/>
    <s v="Quarterly"/>
    <s v="No"/>
    <s v="-"/>
    <s v="No"/>
    <n v="0"/>
    <n v="0"/>
    <n v="5"/>
  </r>
  <r>
    <n v="3279"/>
    <s v="Nilo Peçanha"/>
    <s v="Ultimate"/>
    <d v="2024-04-14T00:00:00"/>
    <x v="1"/>
    <n v="15"/>
    <s v="Monthly"/>
    <s v="Yes"/>
    <n v="30"/>
    <s v="Yes"/>
    <n v="20"/>
    <n v="3"/>
    <n v="62"/>
  </r>
  <r>
    <n v="3280"/>
    <s v="Oscar Neves"/>
    <s v="Standard"/>
    <d v="2024-04-15T00:00:00"/>
    <x v="0"/>
    <n v="10"/>
    <s v="Annual"/>
    <s v="No"/>
    <s v="-"/>
    <s v="Yes"/>
    <n v="20"/>
    <n v="15"/>
    <n v="15"/>
  </r>
  <r>
    <n v="3281"/>
    <s v="Patrícia Soares"/>
    <s v="Core"/>
    <d v="2024-04-16T00:00:00"/>
    <x v="1"/>
    <n v="5"/>
    <s v="Monthly"/>
    <s v="No"/>
    <s v="-"/>
    <s v="No"/>
    <n v="0"/>
    <n v="1"/>
    <n v="4"/>
  </r>
  <r>
    <n v="3282"/>
    <s v="Quirino Gonçalves"/>
    <s v="Ultimate"/>
    <d v="2024-04-17T00:00:00"/>
    <x v="0"/>
    <n v="15"/>
    <s v="Quarterly"/>
    <s v="Yes"/>
    <n v="30"/>
    <s v="Yes"/>
    <n v="20"/>
    <n v="7"/>
    <n v="58"/>
  </r>
  <r>
    <n v="3283"/>
    <s v="Raul Machado"/>
    <s v="Standard"/>
    <d v="2024-04-18T00:00:00"/>
    <x v="1"/>
    <n v="10"/>
    <s v="Monthly"/>
    <s v="No"/>
    <s v="-"/>
    <s v="Yes"/>
    <n v="20"/>
    <n v="10"/>
    <n v="20"/>
  </r>
  <r>
    <n v="3284"/>
    <s v="Sônia Lobo"/>
    <s v="Core"/>
    <d v="2024-04-19T00:00:00"/>
    <x v="0"/>
    <n v="5"/>
    <s v="Annual"/>
    <s v="No"/>
    <s v="-"/>
    <s v="No"/>
    <n v="0"/>
    <n v="0"/>
    <n v="5"/>
  </r>
  <r>
    <n v="3285"/>
    <s v="Tiago Ramos"/>
    <s v="Ultimate"/>
    <d v="2024-04-20T00:00:00"/>
    <x v="1"/>
    <n v="15"/>
    <s v="Monthly"/>
    <s v="Yes"/>
    <n v="30"/>
    <s v="Yes"/>
    <n v="20"/>
    <n v="20"/>
    <n v="45"/>
  </r>
  <r>
    <n v="3286"/>
    <s v="Ugo Pires"/>
    <s v="Standard"/>
    <d v="2024-04-21T00:00:00"/>
    <x v="0"/>
    <n v="10"/>
    <s v="Quarterly"/>
    <s v="No"/>
    <s v="-"/>
    <s v="Yes"/>
    <n v="20"/>
    <n v="15"/>
    <n v="15"/>
  </r>
  <r>
    <n v="3287"/>
    <s v="Valéria Nobre"/>
    <s v="Core"/>
    <d v="2024-04-22T00:00:00"/>
    <x v="1"/>
    <n v="5"/>
    <s v="Monthly"/>
    <s v="No"/>
    <s v="-"/>
    <s v="No"/>
    <n v="0"/>
    <n v="1"/>
    <n v="4"/>
  </r>
  <r>
    <n v="3288"/>
    <s v="William Siqueira"/>
    <s v="Ultimate"/>
    <d v="2024-04-23T00:00:00"/>
    <x v="0"/>
    <n v="15"/>
    <s v="Annual"/>
    <s v="Yes"/>
    <n v="30"/>
    <s v="Yes"/>
    <n v="20"/>
    <n v="3"/>
    <n v="62"/>
  </r>
  <r>
    <n v="3289"/>
    <s v="Xuxa Meneghel"/>
    <s v="Standard"/>
    <d v="2024-04-24T00:00:00"/>
    <x v="1"/>
    <n v="10"/>
    <s v="Monthly"/>
    <s v="No"/>
    <s v="-"/>
    <s v="Yes"/>
    <n v="20"/>
    <n v="10"/>
    <n v="20"/>
  </r>
  <r>
    <n v="3290"/>
    <s v="Yara Figueiredo"/>
    <s v="Core"/>
    <d v="2024-04-25T00:00:00"/>
    <x v="0"/>
    <n v="5"/>
    <s v="Quarterly"/>
    <s v="No"/>
    <s v="-"/>
    <s v="No"/>
    <n v="0"/>
    <n v="0"/>
    <n v="5"/>
  </r>
  <r>
    <n v="3291"/>
    <s v="Zacarias Alves"/>
    <s v="Ultimate"/>
    <d v="2024-04-26T00:00:00"/>
    <x v="1"/>
    <n v="15"/>
    <s v="Monthly"/>
    <s v="Yes"/>
    <n v="30"/>
    <s v="Yes"/>
    <n v="20"/>
    <n v="5"/>
    <n v="60"/>
  </r>
  <r>
    <n v="3292"/>
    <s v="Amanda Bynes"/>
    <s v="Standard"/>
    <d v="2024-04-27T00:00:00"/>
    <x v="0"/>
    <n v="10"/>
    <s v="Annual"/>
    <s v="No"/>
    <s v="-"/>
    <s v="Yes"/>
    <n v="20"/>
    <n v="15"/>
    <n v="15"/>
  </r>
  <r>
    <n v="3293"/>
    <s v="Bruno Mars"/>
    <s v="Core"/>
    <d v="2024-04-28T00:00:00"/>
    <x v="1"/>
    <n v="5"/>
    <s v="Monthly"/>
    <s v="No"/>
    <s v="-"/>
    <s v="No"/>
    <n v="0"/>
    <n v="1"/>
    <n v="4"/>
  </r>
  <r>
    <n v="3294"/>
    <s v="Carla Bruni"/>
    <s v="Ultimate"/>
    <d v="2024-04-29T00:00:00"/>
    <x v="0"/>
    <n v="15"/>
    <s v="Quarterly"/>
    <s v="Yes"/>
    <n v="30"/>
    <s v="Yes"/>
    <n v="20"/>
    <n v="20"/>
    <n v="45"/>
  </r>
  <r>
    <n v="3295"/>
    <s v="Diego Maradona"/>
    <s v="Standard"/>
    <d v="2024-04-30T00:00:00"/>
    <x v="1"/>
    <n v="10"/>
    <s v="Monthly"/>
    <s v="No"/>
    <s v="-"/>
    <s v="Yes"/>
    <n v="20"/>
    <n v="5"/>
    <n v="25"/>
  </r>
  <r>
    <n v="3296"/>
    <s v="Estela Marques"/>
    <s v="Core"/>
    <d v="2024-05-01T00:00:00"/>
    <x v="1"/>
    <n v="5"/>
    <s v="Monthly"/>
    <s v="No"/>
    <s v="-"/>
    <s v="No"/>
    <n v="0"/>
    <n v="0"/>
    <n v="5"/>
  </r>
  <r>
    <n v="3297"/>
    <s v="Fábio Nobre"/>
    <s v="Ultimate"/>
    <d v="2024-05-02T00:00:00"/>
    <x v="0"/>
    <n v="15"/>
    <s v="Quarterly"/>
    <s v="Yes"/>
    <n v="30"/>
    <s v="Yes"/>
    <n v="20"/>
    <n v="7"/>
    <n v="58"/>
  </r>
  <r>
    <n v="3298"/>
    <s v="Gabriel Oliveira"/>
    <s v="Standard"/>
    <d v="2024-05-03T00:00:00"/>
    <x v="1"/>
    <n v="10"/>
    <s v="Annual"/>
    <s v="No"/>
    <s v="-"/>
    <s v="Yes"/>
    <n v="20"/>
    <n v="10"/>
    <n v="20"/>
  </r>
  <r>
    <n v="3299"/>
    <s v="Helena Santos"/>
    <s v="Core"/>
    <d v="2024-05-04T00:00:00"/>
    <x v="0"/>
    <n v="5"/>
    <s v="Quarterly"/>
    <s v="No"/>
    <s v="-"/>
    <s v="No"/>
    <n v="0"/>
    <n v="1"/>
    <n v="4"/>
  </r>
  <r>
    <n v="3300"/>
    <s v="Ivan Carvalho"/>
    <s v="Ultimate"/>
    <d v="2024-05-05T00:00:00"/>
    <x v="1"/>
    <n v="15"/>
    <s v="Monthly"/>
    <s v="Yes"/>
    <n v="30"/>
    <s v="Yes"/>
    <n v="20"/>
    <n v="15"/>
    <n v="50"/>
  </r>
  <r>
    <n v="3301"/>
    <s v="Júlia Ferreira"/>
    <s v="Standard"/>
    <d v="2024-05-06T00:00:00"/>
    <x v="0"/>
    <n v="10"/>
    <s v="Monthly"/>
    <s v="No"/>
    <s v="-"/>
    <s v="Yes"/>
    <n v="20"/>
    <n v="5"/>
    <n v="25"/>
  </r>
  <r>
    <n v="3302"/>
    <s v="Karla Alves"/>
    <s v="Core"/>
    <d v="2024-05-07T00:00:00"/>
    <x v="1"/>
    <n v="5"/>
    <s v="Annual"/>
    <s v="No"/>
    <s v="-"/>
    <s v="No"/>
    <n v="0"/>
    <n v="0"/>
    <n v="5"/>
  </r>
  <r>
    <n v="3303"/>
    <s v="Lucas Mendes"/>
    <s v="Ultimate"/>
    <d v="2024-05-08T00:00:00"/>
    <x v="0"/>
    <n v="15"/>
    <s v="Quarterly"/>
    <s v="Yes"/>
    <n v="30"/>
    <s v="Yes"/>
    <n v="20"/>
    <n v="20"/>
    <n v="45"/>
  </r>
  <r>
    <n v="3304"/>
    <s v="Mônica Gomes"/>
    <s v="Standard"/>
    <d v="2024-05-09T00:00:00"/>
    <x v="1"/>
    <n v="10"/>
    <s v="Quarterly"/>
    <s v="No"/>
    <s v="-"/>
    <s v="Yes"/>
    <n v="20"/>
    <n v="12"/>
    <n v="18"/>
  </r>
  <r>
    <n v="3305"/>
    <s v="Norberto Queiroz"/>
    <s v="Core"/>
    <d v="2024-05-10T00:00:00"/>
    <x v="0"/>
    <n v="5"/>
    <s v="Monthly"/>
    <s v="No"/>
    <s v="-"/>
    <s v="No"/>
    <n v="0"/>
    <n v="2"/>
    <n v="3"/>
  </r>
  <r>
    <n v="3306"/>
    <s v="Otávio Barros"/>
    <s v="Ultimate"/>
    <d v="2024-05-11T00:00:00"/>
    <x v="1"/>
    <n v="15"/>
    <s v="Annual"/>
    <s v="Yes"/>
    <n v="30"/>
    <s v="Yes"/>
    <n v="20"/>
    <n v="5"/>
    <n v="60"/>
  </r>
  <r>
    <n v="3307"/>
    <s v="Paula Vieira"/>
    <s v="Standard"/>
    <d v="2024-05-12T00:00:00"/>
    <x v="0"/>
    <n v="10"/>
    <s v="Monthly"/>
    <s v="No"/>
    <s v="-"/>
    <s v="Yes"/>
    <n v="20"/>
    <n v="10"/>
    <n v="20"/>
  </r>
  <r>
    <n v="3308"/>
    <s v="Quentin Ramos"/>
    <s v="Core"/>
    <d v="2024-05-13T00:00:00"/>
    <x v="1"/>
    <n v="5"/>
    <s v="Quarterly"/>
    <s v="No"/>
    <s v="-"/>
    <s v="No"/>
    <n v="0"/>
    <n v="0"/>
    <n v="5"/>
  </r>
  <r>
    <n v="3309"/>
    <s v="Raquel Novaes"/>
    <s v="Ultimate"/>
    <d v="2024-05-14T00:00:00"/>
    <x v="0"/>
    <n v="15"/>
    <s v="Monthly"/>
    <s v="Yes"/>
    <n v="30"/>
    <s v="Yes"/>
    <n v="20"/>
    <n v="3"/>
    <n v="62"/>
  </r>
  <r>
    <n v="3310"/>
    <s v="Samantha Lopes"/>
    <s v="Standard"/>
    <d v="2024-05-15T00:00:00"/>
    <x v="1"/>
    <n v="10"/>
    <s v="Annual"/>
    <s v="No"/>
    <s v="-"/>
    <s v="Yes"/>
    <n v="20"/>
    <n v="15"/>
    <n v="15"/>
  </r>
  <r>
    <n v="3311"/>
    <s v="Tiago Martins"/>
    <s v="Core"/>
    <d v="2024-05-16T00:00:00"/>
    <x v="0"/>
    <n v="5"/>
    <s v="Monthly"/>
    <s v="No"/>
    <s v="-"/>
    <s v="No"/>
    <n v="0"/>
    <n v="1"/>
    <n v="4"/>
  </r>
  <r>
    <n v="3312"/>
    <s v="Ulysses Guimarães"/>
    <s v="Ultimate"/>
    <d v="2024-05-17T00:00:00"/>
    <x v="1"/>
    <n v="15"/>
    <s v="Quarterly"/>
    <s v="Yes"/>
    <n v="30"/>
    <s v="Yes"/>
    <n v="20"/>
    <n v="7"/>
    <n v="58"/>
  </r>
  <r>
    <n v="3313"/>
    <s v="Vanessa Silva"/>
    <s v="Standard"/>
    <d v="2024-05-18T00:00:00"/>
    <x v="0"/>
    <n v="10"/>
    <s v="Monthly"/>
    <s v="No"/>
    <s v="-"/>
    <s v="Yes"/>
    <n v="20"/>
    <n v="10"/>
    <n v="20"/>
  </r>
  <r>
    <n v="3314"/>
    <s v="William Carneiro"/>
    <s v="Core"/>
    <d v="2024-05-19T00:00:00"/>
    <x v="1"/>
    <n v="5"/>
    <s v="Annual"/>
    <s v="No"/>
    <s v="-"/>
    <s v="No"/>
    <n v="0"/>
    <n v="0"/>
    <n v="5"/>
  </r>
  <r>
    <n v="3315"/>
    <s v="Ximena Rocha"/>
    <s v="Ultimate"/>
    <d v="2024-05-20T00:00:00"/>
    <x v="0"/>
    <n v="15"/>
    <s v="Monthly"/>
    <s v="Yes"/>
    <n v="30"/>
    <s v="Yes"/>
    <n v="20"/>
    <n v="20"/>
    <n v="45"/>
  </r>
  <r>
    <n v="3316"/>
    <s v="Yasmin Figueiredo"/>
    <s v="Standard"/>
    <d v="2024-05-21T00:00:00"/>
    <x v="1"/>
    <n v="10"/>
    <s v="Quarterly"/>
    <s v="No"/>
    <s v="-"/>
    <s v="Yes"/>
    <n v="20"/>
    <n v="15"/>
    <n v="15"/>
  </r>
  <r>
    <n v="3317"/>
    <s v="Zara Cunha"/>
    <s v="Core"/>
    <d v="2024-05-22T00:00:00"/>
    <x v="0"/>
    <n v="5"/>
    <s v="Monthly"/>
    <s v="No"/>
    <s v="-"/>
    <s v="No"/>
    <n v="0"/>
    <n v="1"/>
    <n v="4"/>
  </r>
  <r>
    <n v="3318"/>
    <s v="Alan Teixeira"/>
    <s v="Ultimate"/>
    <d v="2024-05-23T00:00:00"/>
    <x v="1"/>
    <n v="15"/>
    <s v="Annual"/>
    <s v="Yes"/>
    <n v="30"/>
    <s v="Yes"/>
    <n v="20"/>
    <n v="3"/>
    <n v="62"/>
  </r>
  <r>
    <n v="3319"/>
    <s v="Bárbara Oliveira"/>
    <s v="Standard"/>
    <d v="2024-05-24T00:00:00"/>
    <x v="0"/>
    <n v="10"/>
    <s v="Monthly"/>
    <s v="No"/>
    <s v="-"/>
    <s v="Yes"/>
    <n v="20"/>
    <n v="10"/>
    <n v="20"/>
  </r>
  <r>
    <n v="3320"/>
    <s v="Carlos Junqueira"/>
    <s v="Core"/>
    <d v="2024-05-25T00:00:00"/>
    <x v="1"/>
    <n v="5"/>
    <s v="Quarterly"/>
    <s v="No"/>
    <s v="-"/>
    <s v="No"/>
    <n v="0"/>
    <n v="0"/>
    <n v="5"/>
  </r>
  <r>
    <n v="3321"/>
    <s v="Daniela Moura"/>
    <s v="Ultimate"/>
    <d v="2024-05-26T00:00:00"/>
    <x v="0"/>
    <n v="15"/>
    <s v="Monthly"/>
    <s v="Yes"/>
    <n v="30"/>
    <s v="Yes"/>
    <n v="20"/>
    <n v="5"/>
    <n v="60"/>
  </r>
  <r>
    <n v="3322"/>
    <s v="Eduardo Lima"/>
    <s v="Standard"/>
    <d v="2024-05-27T00:00:00"/>
    <x v="1"/>
    <n v="10"/>
    <s v="Annual"/>
    <s v="No"/>
    <s v="-"/>
    <s v="Yes"/>
    <n v="20"/>
    <n v="15"/>
    <n v="15"/>
  </r>
  <r>
    <n v="3323"/>
    <s v="Fabiana Araújo"/>
    <s v="Core"/>
    <d v="2024-05-28T00:00:00"/>
    <x v="0"/>
    <n v="5"/>
    <s v="Monthly"/>
    <s v="No"/>
    <s v="-"/>
    <s v="No"/>
    <n v="0"/>
    <n v="1"/>
    <n v="4"/>
  </r>
  <r>
    <n v="3324"/>
    <s v="Geraldo Ribeiro"/>
    <s v="Ultimate"/>
    <d v="2024-05-29T00:00:00"/>
    <x v="1"/>
    <n v="15"/>
    <s v="Quarterly"/>
    <s v="Yes"/>
    <n v="30"/>
    <s v="Yes"/>
    <n v="20"/>
    <n v="20"/>
    <n v="45"/>
  </r>
  <r>
    <n v="3325"/>
    <s v="Héctor Vargas"/>
    <s v="Standard"/>
    <d v="2024-05-30T00:00:00"/>
    <x v="0"/>
    <n v="10"/>
    <s v="Quarterly"/>
    <s v="No"/>
    <s v="-"/>
    <s v="Yes"/>
    <n v="20"/>
    <n v="15"/>
    <n v="15"/>
  </r>
  <r>
    <n v="3326"/>
    <s v="Isabela Fonseca"/>
    <s v="Core"/>
    <d v="2024-05-31T00:00:00"/>
    <x v="1"/>
    <n v="5"/>
    <s v="Annual"/>
    <s v="No"/>
    <s v="-"/>
    <s v="No"/>
    <n v="0"/>
    <n v="0"/>
    <n v="5"/>
  </r>
  <r>
    <n v="3327"/>
    <s v="João Pedro Almeida"/>
    <s v="Ultimate"/>
    <d v="2024-06-01T00:00:00"/>
    <x v="0"/>
    <n v="15"/>
    <s v="Monthly"/>
    <s v="Yes"/>
    <n v="30"/>
    <s v="Yes"/>
    <n v="20"/>
    <n v="7"/>
    <n v="58"/>
  </r>
  <r>
    <n v="3328"/>
    <s v="Klara Costa"/>
    <s v="Standard"/>
    <d v="2024-06-02T00:00:00"/>
    <x v="1"/>
    <n v="10"/>
    <s v="Annual"/>
    <s v="No"/>
    <s v="-"/>
    <s v="Yes"/>
    <n v="20"/>
    <n v="10"/>
    <n v="20"/>
  </r>
  <r>
    <n v="3329"/>
    <s v="Luciana Mendes"/>
    <s v="Core"/>
    <d v="2024-06-03T00:00:00"/>
    <x v="0"/>
    <n v="5"/>
    <s v="Quarterly"/>
    <s v="No"/>
    <s v="-"/>
    <s v="No"/>
    <n v="0"/>
    <n v="1"/>
    <n v="4"/>
  </r>
  <r>
    <n v="3330"/>
    <s v="Marcelo Gouveia"/>
    <s v="Ultimate"/>
    <d v="2024-06-04T00:00:00"/>
    <x v="1"/>
    <n v="15"/>
    <s v="Monthly"/>
    <s v="Yes"/>
    <n v="30"/>
    <s v="Yes"/>
    <n v="20"/>
    <n v="15"/>
    <n v="50"/>
  </r>
  <r>
    <n v="3331"/>
    <s v="Nívea Borges"/>
    <s v="Standard"/>
    <d v="2024-06-05T00:00:00"/>
    <x v="0"/>
    <n v="10"/>
    <s v="Monthly"/>
    <s v="No"/>
    <s v="-"/>
    <s v="Yes"/>
    <n v="20"/>
    <n v="5"/>
    <n v="25"/>
  </r>
  <r>
    <n v="3332"/>
    <s v="Oscar Nogueira"/>
    <s v="Core"/>
    <d v="2024-06-06T00:00:00"/>
    <x v="1"/>
    <n v="5"/>
    <s v="Annual"/>
    <s v="No"/>
    <s v="-"/>
    <s v="No"/>
    <n v="0"/>
    <n v="0"/>
    <n v="5"/>
  </r>
  <r>
    <n v="3333"/>
    <s v="Patrícia Alves"/>
    <s v="Ultimate"/>
    <d v="2024-06-07T00:00:00"/>
    <x v="0"/>
    <n v="15"/>
    <s v="Quarterly"/>
    <s v="Yes"/>
    <n v="30"/>
    <s v="Yes"/>
    <n v="20"/>
    <n v="20"/>
    <n v="45"/>
  </r>
  <r>
    <n v="3334"/>
    <s v="Rafaela Silva"/>
    <s v="Standard"/>
    <d v="2024-06-08T00:00:00"/>
    <x v="1"/>
    <n v="10"/>
    <s v="Quarterly"/>
    <s v="No"/>
    <s v="-"/>
    <s v="Yes"/>
    <n v="20"/>
    <n v="12"/>
    <n v="18"/>
  </r>
  <r>
    <n v="3335"/>
    <s v="Samantha Moraes"/>
    <s v="Core"/>
    <d v="2024-06-09T00:00:00"/>
    <x v="0"/>
    <n v="5"/>
    <s v="Monthly"/>
    <s v="No"/>
    <s v="-"/>
    <s v="No"/>
    <n v="0"/>
    <n v="2"/>
    <n v="3"/>
  </r>
  <r>
    <n v="3336"/>
    <s v="Tatiana Rocha"/>
    <s v="Core"/>
    <d v="2024-06-10T00:00:00"/>
    <x v="0"/>
    <n v="5"/>
    <s v="Monthly"/>
    <s v="No"/>
    <s v="-"/>
    <s v="No"/>
    <n v="0"/>
    <n v="0"/>
    <n v="5"/>
  </r>
  <r>
    <n v="3337"/>
    <s v="Ulisses Tavares"/>
    <s v="Ultimate"/>
    <d v="2024-06-11T00:00:00"/>
    <x v="1"/>
    <n v="15"/>
    <s v="Quarterly"/>
    <s v="Yes"/>
    <n v="30"/>
    <s v="Yes"/>
    <n v="20"/>
    <n v="7"/>
    <n v="58"/>
  </r>
  <r>
    <n v="3338"/>
    <s v="Víctor Lemos"/>
    <s v="Standard"/>
    <d v="2024-06-12T00:00:00"/>
    <x v="0"/>
    <n v="10"/>
    <s v="Annual"/>
    <s v="No"/>
    <s v="-"/>
    <s v="Yes"/>
    <n v="20"/>
    <n v="10"/>
    <n v="20"/>
  </r>
  <r>
    <n v="3339"/>
    <s v="Wilma Barros"/>
    <s v="Core"/>
    <d v="2024-06-13T00:00:00"/>
    <x v="1"/>
    <n v="5"/>
    <s v="Quarterly"/>
    <s v="No"/>
    <s v="-"/>
    <s v="No"/>
    <n v="0"/>
    <n v="1"/>
    <n v="4"/>
  </r>
  <r>
    <n v="3340"/>
    <s v="Xavier Nascimento"/>
    <s v="Ultimate"/>
    <d v="2024-06-14T00:00:00"/>
    <x v="0"/>
    <n v="15"/>
    <s v="Monthly"/>
    <s v="Yes"/>
    <n v="30"/>
    <s v="Yes"/>
    <n v="20"/>
    <n v="15"/>
    <n v="50"/>
  </r>
  <r>
    <n v="3341"/>
    <s v="Yago Pereira"/>
    <s v="Standard"/>
    <d v="2024-06-15T00:00:00"/>
    <x v="1"/>
    <n v="10"/>
    <s v="Monthly"/>
    <s v="No"/>
    <s v="-"/>
    <s v="Yes"/>
    <n v="20"/>
    <n v="5"/>
    <n v="25"/>
  </r>
  <r>
    <n v="3342"/>
    <s v="Zilda Ferreira"/>
    <s v="Core"/>
    <d v="2024-06-16T00:00:00"/>
    <x v="0"/>
    <n v="5"/>
    <s v="Annual"/>
    <s v="No"/>
    <s v="-"/>
    <s v="No"/>
    <n v="0"/>
    <n v="0"/>
    <n v="5"/>
  </r>
  <r>
    <n v="3343"/>
    <s v="Amanda Lopes"/>
    <s v="Ultimate"/>
    <d v="2024-06-17T00:00:00"/>
    <x v="1"/>
    <n v="15"/>
    <s v="Quarterly"/>
    <s v="Yes"/>
    <n v="30"/>
    <s v="Yes"/>
    <n v="20"/>
    <n v="20"/>
    <n v="45"/>
  </r>
  <r>
    <n v="3344"/>
    <s v="Bruno Miranda"/>
    <s v="Standard"/>
    <d v="2024-06-18T00:00:00"/>
    <x v="0"/>
    <n v="10"/>
    <s v="Quarterly"/>
    <s v="No"/>
    <s v="-"/>
    <s v="Yes"/>
    <n v="20"/>
    <n v="12"/>
    <n v="18"/>
  </r>
  <r>
    <n v="3345"/>
    <s v="Célia Torres"/>
    <s v="Core"/>
    <d v="2024-06-19T00:00:00"/>
    <x v="1"/>
    <n v="5"/>
    <s v="Monthly"/>
    <s v="No"/>
    <s v="-"/>
    <s v="No"/>
    <n v="0"/>
    <n v="2"/>
    <n v="3"/>
  </r>
  <r>
    <n v="3346"/>
    <s v="Diogo Souza"/>
    <s v="Ultimate"/>
    <d v="2024-06-20T00:00:00"/>
    <x v="0"/>
    <n v="15"/>
    <s v="Annual"/>
    <s v="Yes"/>
    <n v="30"/>
    <s v="Yes"/>
    <n v="20"/>
    <n v="5"/>
    <n v="60"/>
  </r>
  <r>
    <n v="3347"/>
    <s v="Elisa Castro"/>
    <s v="Standard"/>
    <d v="2024-06-21T00:00:00"/>
    <x v="1"/>
    <n v="10"/>
    <s v="Monthly"/>
    <s v="No"/>
    <s v="-"/>
    <s v="Yes"/>
    <n v="20"/>
    <n v="10"/>
    <n v="20"/>
  </r>
  <r>
    <n v="3348"/>
    <s v="Fátima Lima"/>
    <s v="Core"/>
    <d v="2024-06-22T00:00:00"/>
    <x v="0"/>
    <n v="5"/>
    <s v="Quarterly"/>
    <s v="No"/>
    <s v="-"/>
    <s v="No"/>
    <n v="0"/>
    <n v="0"/>
    <n v="5"/>
  </r>
  <r>
    <n v="3349"/>
    <s v="Geraldo Ribeiro"/>
    <s v="Ultimate"/>
    <d v="2024-06-23T00:00:00"/>
    <x v="1"/>
    <n v="15"/>
    <s v="Monthly"/>
    <s v="Yes"/>
    <n v="30"/>
    <s v="Yes"/>
    <n v="20"/>
    <n v="3"/>
    <n v="62"/>
  </r>
  <r>
    <n v="3350"/>
    <s v="Hélio Martins"/>
    <s v="Standard"/>
    <d v="2024-06-24T00:00:00"/>
    <x v="0"/>
    <n v="10"/>
    <s v="Annual"/>
    <s v="No"/>
    <s v="-"/>
    <s v="Yes"/>
    <n v="20"/>
    <n v="15"/>
    <n v="15"/>
  </r>
  <r>
    <n v="3351"/>
    <s v="Íris Santos"/>
    <s v="Core"/>
    <d v="2024-06-25T00:00:00"/>
    <x v="1"/>
    <n v="5"/>
    <s v="Monthly"/>
    <s v="No"/>
    <s v="-"/>
    <s v="No"/>
    <n v="0"/>
    <n v="1"/>
    <n v="4"/>
  </r>
  <r>
    <n v="3352"/>
    <s v="João Marcelo"/>
    <s v="Ultimate"/>
    <d v="2024-06-26T00:00:00"/>
    <x v="0"/>
    <n v="15"/>
    <s v="Quarterly"/>
    <s v="Yes"/>
    <n v="30"/>
    <s v="Yes"/>
    <n v="20"/>
    <n v="7"/>
    <n v="58"/>
  </r>
  <r>
    <n v="3353"/>
    <s v="Larissa Gomes"/>
    <s v="Standard"/>
    <d v="2024-06-27T00:00:00"/>
    <x v="1"/>
    <n v="10"/>
    <s v="Monthly"/>
    <s v="No"/>
    <s v="-"/>
    <s v="Yes"/>
    <n v="20"/>
    <n v="10"/>
    <n v="20"/>
  </r>
  <r>
    <n v="3354"/>
    <s v="Márcio Silva"/>
    <s v="Core"/>
    <d v="2024-06-28T00:00:00"/>
    <x v="0"/>
    <n v="5"/>
    <s v="Annual"/>
    <s v="No"/>
    <s v="-"/>
    <s v="No"/>
    <n v="0"/>
    <n v="0"/>
    <n v="5"/>
  </r>
  <r>
    <n v="3355"/>
    <s v="Nadia Costa"/>
    <s v="Ultimate"/>
    <d v="2024-06-29T00:00:00"/>
    <x v="1"/>
    <n v="15"/>
    <s v="Monthly"/>
    <s v="Yes"/>
    <n v="30"/>
    <s v="Yes"/>
    <n v="20"/>
    <n v="20"/>
    <n v="45"/>
  </r>
  <r>
    <n v="3356"/>
    <s v="Oscar Almeida"/>
    <s v="Standard"/>
    <d v="2024-06-30T00:00:00"/>
    <x v="0"/>
    <n v="10"/>
    <s v="Quarterly"/>
    <s v="No"/>
    <s v="-"/>
    <s v="Yes"/>
    <n v="20"/>
    <n v="15"/>
    <n v="15"/>
  </r>
  <r>
    <n v="3357"/>
    <s v="Patricia Soares"/>
    <s v="Core"/>
    <d v="2024-07-01T00:00:00"/>
    <x v="1"/>
    <n v="5"/>
    <s v="Monthly"/>
    <s v="No"/>
    <s v="-"/>
    <s v="No"/>
    <n v="0"/>
    <n v="1"/>
    <n v="4"/>
  </r>
  <r>
    <n v="3358"/>
    <s v="Quênia Barros"/>
    <s v="Ultimate"/>
    <d v="2024-07-02T00:00:00"/>
    <x v="0"/>
    <n v="15"/>
    <s v="Annual"/>
    <s v="Yes"/>
    <n v="30"/>
    <s v="Yes"/>
    <n v="20"/>
    <n v="3"/>
    <n v="62"/>
  </r>
  <r>
    <n v="3359"/>
    <s v="Rafael Torres"/>
    <s v="Standard"/>
    <d v="2024-07-03T00:00:00"/>
    <x v="1"/>
    <n v="10"/>
    <s v="Monthly"/>
    <s v="No"/>
    <s v="-"/>
    <s v="Yes"/>
    <n v="20"/>
    <n v="10"/>
    <n v="20"/>
  </r>
  <r>
    <n v="3360"/>
    <s v="Silvia Nascimento"/>
    <s v="Core"/>
    <d v="2024-07-04T00:00:00"/>
    <x v="0"/>
    <n v="5"/>
    <s v="Quarterly"/>
    <s v="No"/>
    <s v="-"/>
    <s v="No"/>
    <n v="0"/>
    <n v="0"/>
    <n v="5"/>
  </r>
  <r>
    <n v="3361"/>
    <s v="Tiago Mendes"/>
    <s v="Ultimate"/>
    <d v="2024-07-05T00:00:00"/>
    <x v="1"/>
    <n v="15"/>
    <s v="Monthly"/>
    <s v="Yes"/>
    <n v="30"/>
    <s v="Yes"/>
    <n v="20"/>
    <n v="15"/>
    <n v="50"/>
  </r>
  <r>
    <n v="3362"/>
    <s v="Ursula Silva"/>
    <s v="Standard"/>
    <d v="2024-07-06T00:00:00"/>
    <x v="0"/>
    <n v="10"/>
    <s v="Annual"/>
    <s v="No"/>
    <s v="-"/>
    <s v="Yes"/>
    <n v="20"/>
    <n v="15"/>
    <n v="15"/>
  </r>
  <r>
    <n v="3363"/>
    <s v="Vanessa Moraes"/>
    <s v="Core"/>
    <d v="2024-07-07T00:00:00"/>
    <x v="1"/>
    <n v="5"/>
    <s v="Monthly"/>
    <s v="No"/>
    <s v="-"/>
    <s v="No"/>
    <n v="0"/>
    <n v="1"/>
    <n v="4"/>
  </r>
  <r>
    <n v="3364"/>
    <s v="Waldir Junior"/>
    <s v="Ultimate"/>
    <d v="2024-07-08T00:00:00"/>
    <x v="0"/>
    <n v="15"/>
    <s v="Quarterly"/>
    <s v="Yes"/>
    <n v="30"/>
    <s v="Yes"/>
    <n v="20"/>
    <n v="7"/>
    <n v="58"/>
  </r>
  <r>
    <n v="3365"/>
    <s v="Xavier Lopes"/>
    <s v="Standard"/>
    <d v="2024-07-09T00:00:00"/>
    <x v="1"/>
    <n v="10"/>
    <s v="Monthly"/>
    <s v="No"/>
    <s v="-"/>
    <s v="Yes"/>
    <n v="20"/>
    <n v="10"/>
    <n v="20"/>
  </r>
  <r>
    <n v="3366"/>
    <s v="Yolanda Freitas"/>
    <s v="Core"/>
    <d v="2024-07-10T00:00:00"/>
    <x v="0"/>
    <n v="5"/>
    <s v="Monthly"/>
    <s v="No"/>
    <s v="-"/>
    <s v="No"/>
    <n v="0"/>
    <n v="0"/>
    <n v="5"/>
  </r>
  <r>
    <n v="3367"/>
    <s v="Zacarias Nunes"/>
    <s v="Ultimate"/>
    <d v="2024-07-11T00:00:00"/>
    <x v="1"/>
    <n v="15"/>
    <s v="Quarterly"/>
    <s v="Yes"/>
    <n v="30"/>
    <s v="Yes"/>
    <n v="20"/>
    <n v="7"/>
    <n v="58"/>
  </r>
  <r>
    <n v="3368"/>
    <s v="Ana Clara Barreto"/>
    <s v="Standard"/>
    <d v="2024-07-12T00:00:00"/>
    <x v="0"/>
    <n v="10"/>
    <s v="Annual"/>
    <s v="No"/>
    <s v="-"/>
    <s v="Yes"/>
    <n v="20"/>
    <n v="10"/>
    <n v="20"/>
  </r>
  <r>
    <n v="3369"/>
    <s v="Bruno Henrique"/>
    <s v="Core"/>
    <d v="2024-07-13T00:00:00"/>
    <x v="1"/>
    <n v="5"/>
    <s v="Quarterly"/>
    <s v="No"/>
    <s v="-"/>
    <s v="No"/>
    <n v="0"/>
    <n v="1"/>
    <n v="4"/>
  </r>
  <r>
    <n v="3370"/>
    <s v="Carlos Eduardo"/>
    <s v="Ultimate"/>
    <d v="2024-07-14T00:00:00"/>
    <x v="0"/>
    <n v="15"/>
    <s v="Monthly"/>
    <s v="Yes"/>
    <n v="30"/>
    <s v="Yes"/>
    <n v="20"/>
    <n v="15"/>
    <n v="50"/>
  </r>
  <r>
    <n v="3371"/>
    <s v="Débora Lima"/>
    <s v="Standard"/>
    <d v="2024-07-15T00:00:00"/>
    <x v="1"/>
    <n v="10"/>
    <s v="Monthly"/>
    <s v="No"/>
    <s v="-"/>
    <s v="Yes"/>
    <n v="20"/>
    <n v="5"/>
    <n v="25"/>
  </r>
  <r>
    <n v="3372"/>
    <s v="Elisa Neves"/>
    <s v="Core"/>
    <d v="2024-07-16T00:00:00"/>
    <x v="0"/>
    <n v="5"/>
    <s v="Annual"/>
    <s v="No"/>
    <s v="-"/>
    <s v="No"/>
    <n v="0"/>
    <n v="0"/>
    <n v="5"/>
  </r>
  <r>
    <n v="3373"/>
    <s v="Fabiano Gomes"/>
    <s v="Ultimate"/>
    <d v="2024-07-17T00:00:00"/>
    <x v="1"/>
    <n v="15"/>
    <s v="Quarterly"/>
    <s v="Yes"/>
    <n v="30"/>
    <s v="Yes"/>
    <n v="20"/>
    <n v="20"/>
    <n v="45"/>
  </r>
  <r>
    <n v="3374"/>
    <s v="Gisele Oliveira"/>
    <s v="Standard"/>
    <d v="2024-07-18T00:00:00"/>
    <x v="0"/>
    <n v="10"/>
    <s v="Quarterly"/>
    <s v="No"/>
    <s v="-"/>
    <s v="Yes"/>
    <n v="20"/>
    <n v="12"/>
    <n v="18"/>
  </r>
  <r>
    <n v="3375"/>
    <s v="Héctor Silva"/>
    <s v="Core"/>
    <d v="2024-07-19T00:00:00"/>
    <x v="1"/>
    <n v="5"/>
    <s v="Monthly"/>
    <s v="No"/>
    <s v="-"/>
    <s v="No"/>
    <n v="0"/>
    <n v="2"/>
    <n v="3"/>
  </r>
  <r>
    <n v="3376"/>
    <s v="Igor Martins"/>
    <s v="Ultimate"/>
    <d v="2024-07-20T00:00:00"/>
    <x v="0"/>
    <n v="15"/>
    <s v="Annual"/>
    <s v="Yes"/>
    <n v="30"/>
    <s v="Yes"/>
    <n v="20"/>
    <n v="5"/>
    <n v="60"/>
  </r>
  <r>
    <n v="3377"/>
    <s v="Joana Figueiredo"/>
    <s v="Standard"/>
    <d v="2024-07-21T00:00:00"/>
    <x v="1"/>
    <n v="10"/>
    <s v="Monthly"/>
    <s v="No"/>
    <s v="-"/>
    <s v="Yes"/>
    <n v="20"/>
    <n v="10"/>
    <n v="20"/>
  </r>
  <r>
    <n v="3378"/>
    <s v="Kleber Machado"/>
    <s v="Core"/>
    <d v="2024-07-22T00:00:00"/>
    <x v="0"/>
    <n v="5"/>
    <s v="Quarterly"/>
    <s v="No"/>
    <s v="-"/>
    <s v="No"/>
    <n v="0"/>
    <n v="0"/>
    <n v="5"/>
  </r>
  <r>
    <n v="3379"/>
    <s v="Luciana Santos"/>
    <s v="Ultimate"/>
    <d v="2024-07-23T00:00:00"/>
    <x v="1"/>
    <n v="15"/>
    <s v="Monthly"/>
    <s v="Yes"/>
    <n v="30"/>
    <s v="Yes"/>
    <n v="20"/>
    <n v="3"/>
    <n v="62"/>
  </r>
  <r>
    <n v="3380"/>
    <s v="Marcos Teixeira"/>
    <s v="Standard"/>
    <d v="2024-07-24T00:00:00"/>
    <x v="0"/>
    <n v="10"/>
    <s v="Annual"/>
    <s v="No"/>
    <s v="-"/>
    <s v="Yes"/>
    <n v="20"/>
    <n v="15"/>
    <n v="15"/>
  </r>
  <r>
    <n v="3381"/>
    <s v="Natalia Costa"/>
    <s v="Core"/>
    <d v="2024-07-25T00:00:00"/>
    <x v="1"/>
    <n v="5"/>
    <s v="Monthly"/>
    <s v="No"/>
    <s v="-"/>
    <s v="No"/>
    <n v="0"/>
    <n v="1"/>
    <n v="4"/>
  </r>
  <r>
    <n v="3382"/>
    <s v="Oscar Ribeiro"/>
    <s v="Ultimate"/>
    <d v="2024-07-26T00:00:00"/>
    <x v="0"/>
    <n v="15"/>
    <s v="Quarterly"/>
    <s v="Yes"/>
    <n v="30"/>
    <s v="Yes"/>
    <n v="20"/>
    <n v="7"/>
    <n v="58"/>
  </r>
  <r>
    <n v="3383"/>
    <s v="Patricia Almeida"/>
    <s v="Standard"/>
    <d v="2024-07-27T00:00:00"/>
    <x v="1"/>
    <n v="10"/>
    <s v="Monthly"/>
    <s v="No"/>
    <s v="-"/>
    <s v="Yes"/>
    <n v="20"/>
    <n v="10"/>
    <n v="20"/>
  </r>
  <r>
    <n v="3384"/>
    <s v="Quirino Junior"/>
    <s v="Core"/>
    <d v="2024-07-28T00:00:00"/>
    <x v="0"/>
    <n v="5"/>
    <s v="Annual"/>
    <s v="No"/>
    <s v="-"/>
    <s v="No"/>
    <n v="0"/>
    <n v="0"/>
    <n v="5"/>
  </r>
  <r>
    <n v="3385"/>
    <s v="Renata Machado"/>
    <s v="Ultimate"/>
    <d v="2024-07-29T00:00:00"/>
    <x v="1"/>
    <n v="15"/>
    <s v="Monthly"/>
    <s v="Yes"/>
    <n v="30"/>
    <s v="Yes"/>
    <n v="20"/>
    <n v="20"/>
    <n v="45"/>
  </r>
  <r>
    <n v="3386"/>
    <s v="Sônia Alves"/>
    <s v="Standard"/>
    <d v="2024-07-30T00:00:00"/>
    <x v="0"/>
    <n v="10"/>
    <s v="Quarterly"/>
    <s v="No"/>
    <s v="-"/>
    <s v="Yes"/>
    <n v="20"/>
    <n v="15"/>
    <n v="15"/>
  </r>
  <r>
    <n v="3387"/>
    <s v="Tiago Nunes"/>
    <s v="Core"/>
    <d v="2024-07-31T00:00:00"/>
    <x v="1"/>
    <n v="5"/>
    <s v="Monthly"/>
    <s v="No"/>
    <s v="-"/>
    <s v="No"/>
    <n v="0"/>
    <n v="1"/>
    <n v="4"/>
  </r>
  <r>
    <n v="3388"/>
    <s v="Ulysses Pereira"/>
    <s v="Ultimate"/>
    <d v="2024-08-01T00:00:00"/>
    <x v="0"/>
    <n v="15"/>
    <s v="Annual"/>
    <s v="Yes"/>
    <n v="30"/>
    <s v="Yes"/>
    <n v="20"/>
    <n v="3"/>
    <n v="62"/>
  </r>
  <r>
    <n v="3389"/>
    <s v="Vanessa Lima"/>
    <s v="Standard"/>
    <d v="2024-08-02T00:00:00"/>
    <x v="1"/>
    <n v="10"/>
    <s v="Monthly"/>
    <s v="No"/>
    <s v="-"/>
    <s v="Yes"/>
    <n v="20"/>
    <n v="10"/>
    <n v="20"/>
  </r>
  <r>
    <n v="3390"/>
    <s v="Wagner Santos"/>
    <s v="Core"/>
    <d v="2024-08-03T00:00:00"/>
    <x v="0"/>
    <n v="5"/>
    <s v="Quarterly"/>
    <s v="No"/>
    <s v="-"/>
    <s v="No"/>
    <n v="0"/>
    <n v="0"/>
    <n v="5"/>
  </r>
  <r>
    <n v="3391"/>
    <s v="Xuxa Meneghel"/>
    <s v="Ultimate"/>
    <d v="2024-08-04T00:00:00"/>
    <x v="1"/>
    <n v="15"/>
    <s v="Monthly"/>
    <s v="Yes"/>
    <n v="30"/>
    <s v="Yes"/>
    <n v="20"/>
    <n v="15"/>
    <n v="50"/>
  </r>
  <r>
    <n v="3392"/>
    <s v="Yasmin Silva"/>
    <s v="Standard"/>
    <d v="2024-08-05T00:00:00"/>
    <x v="0"/>
    <n v="10"/>
    <s v="Annual"/>
    <s v="No"/>
    <s v="-"/>
    <s v="Yes"/>
    <n v="20"/>
    <n v="15"/>
    <n v="15"/>
  </r>
  <r>
    <n v="3393"/>
    <s v="Zacarias de Souza"/>
    <s v="Core"/>
    <d v="2024-08-06T00:00:00"/>
    <x v="1"/>
    <n v="5"/>
    <s v="Monthly"/>
    <s v="No"/>
    <s v="-"/>
    <s v="No"/>
    <n v="0"/>
    <n v="1"/>
    <n v="4"/>
  </r>
  <r>
    <n v="3394"/>
    <s v="André Lima"/>
    <s v="Ultimate"/>
    <d v="2024-08-07T00:00:00"/>
    <x v="0"/>
    <n v="15"/>
    <s v="Quarterly"/>
    <s v="Yes"/>
    <n v="30"/>
    <s v="Yes"/>
    <n v="20"/>
    <n v="7"/>
    <n v="58"/>
  </r>
  <r>
    <n v="3395"/>
    <s v="Bianca Freitas"/>
    <s v="Standard"/>
    <d v="2024-08-08T00:00:00"/>
    <x v="1"/>
    <n v="10"/>
    <s v="Monthly"/>
    <s v="No"/>
    <s v="-"/>
    <s v="Yes"/>
    <n v="20"/>
    <n v="10"/>
    <n v="20"/>
  </r>
  <r>
    <n v="3396"/>
    <s v="Caio Mendes"/>
    <s v="Core"/>
    <d v="2024-08-09T00:00:00"/>
    <x v="0"/>
    <n v="5"/>
    <s v="Annual"/>
    <s v="No"/>
    <s v="-"/>
    <s v="No"/>
    <n v="0"/>
    <n v="0"/>
    <n v="5"/>
  </r>
  <r>
    <n v="3397"/>
    <s v="Daniela Moura"/>
    <s v="Ultimate"/>
    <d v="2024-08-10T00:00:00"/>
    <x v="1"/>
    <n v="15"/>
    <s v="Monthly"/>
    <s v="Yes"/>
    <n v="30"/>
    <s v="Yes"/>
    <n v="20"/>
    <n v="20"/>
    <n v="45"/>
  </r>
  <r>
    <n v="3398"/>
    <s v="Eduardo Costa"/>
    <s v="Standard"/>
    <d v="2024-08-11T00:00:00"/>
    <x v="0"/>
    <n v="10"/>
    <s v="Quarterly"/>
    <s v="No"/>
    <s v="-"/>
    <s v="Yes"/>
    <n v="20"/>
    <n v="15"/>
    <n v="15"/>
  </r>
  <r>
    <n v="3399"/>
    <s v="Fernanda Gomes"/>
    <s v="Core"/>
    <d v="2024-08-12T00:00:00"/>
    <x v="1"/>
    <n v="5"/>
    <s v="Monthly"/>
    <s v="No"/>
    <s v="-"/>
    <s v="No"/>
    <n v="0"/>
    <n v="1"/>
    <n v="4"/>
  </r>
  <r>
    <n v="3400"/>
    <s v="Guilherme Souza"/>
    <s v="Ultimate"/>
    <d v="2024-08-13T00:00:00"/>
    <x v="0"/>
    <n v="15"/>
    <s v="Annual"/>
    <s v="Yes"/>
    <n v="30"/>
    <s v="Yes"/>
    <n v="20"/>
    <n v="5"/>
    <n v="60"/>
  </r>
  <r>
    <n v="3401"/>
    <s v="Helena Ribeiro"/>
    <s v="Standard"/>
    <d v="2024-08-14T00:00:00"/>
    <x v="1"/>
    <n v="10"/>
    <s v="Monthly"/>
    <s v="No"/>
    <s v="-"/>
    <s v="Yes"/>
    <n v="20"/>
    <n v="10"/>
    <n v="20"/>
  </r>
  <r>
    <n v="3402"/>
    <s v="Igor Santos"/>
    <s v="Core"/>
    <d v="2024-08-15T00:00:00"/>
    <x v="0"/>
    <n v="5"/>
    <s v="Quarterly"/>
    <s v="No"/>
    <s v="-"/>
    <s v="No"/>
    <n v="0"/>
    <n v="0"/>
    <n v="5"/>
  </r>
  <r>
    <n v="3403"/>
    <s v="João Carvalho"/>
    <s v="Ultimate"/>
    <d v="2024-08-16T00:00:00"/>
    <x v="1"/>
    <n v="15"/>
    <s v="Monthly"/>
    <s v="Yes"/>
    <n v="30"/>
    <s v="Yes"/>
    <n v="20"/>
    <n v="3"/>
    <n v="62"/>
  </r>
  <r>
    <n v="3404"/>
    <s v="Klara Fagundes"/>
    <s v="Standard"/>
    <d v="2024-08-17T00:00:00"/>
    <x v="0"/>
    <n v="10"/>
    <s v="Annual"/>
    <s v="No"/>
    <s v="-"/>
    <s v="Yes"/>
    <n v="20"/>
    <n v="15"/>
    <n v="15"/>
  </r>
  <r>
    <n v="3405"/>
    <s v="Lúcia Mendonça"/>
    <s v="Core"/>
    <d v="2024-08-18T00:00:00"/>
    <x v="1"/>
    <n v="5"/>
    <s v="Monthly"/>
    <s v="No"/>
    <s v="-"/>
    <s v="No"/>
    <n v="0"/>
    <n v="1"/>
    <n v="4"/>
  </r>
  <r>
    <n v="3406"/>
    <s v="Marcelo Novaes"/>
    <s v="Core"/>
    <d v="2024-08-19T00:00:00"/>
    <x v="0"/>
    <n v="5"/>
    <s v="Monthly"/>
    <s v="No"/>
    <s v="-"/>
    <s v="No"/>
    <n v="0"/>
    <n v="0"/>
    <n v="5"/>
  </r>
  <r>
    <n v="3407"/>
    <s v="Nina Pacheco"/>
    <s v="Ultimate"/>
    <d v="2024-08-20T00:00:00"/>
    <x v="1"/>
    <n v="15"/>
    <s v="Quarterly"/>
    <s v="Yes"/>
    <n v="30"/>
    <s v="Yes"/>
    <n v="20"/>
    <n v="7"/>
    <n v="58"/>
  </r>
  <r>
    <n v="3408"/>
    <s v="Olívia Rios"/>
    <s v="Standard"/>
    <d v="2024-08-21T00:00:00"/>
    <x v="0"/>
    <n v="10"/>
    <s v="Annual"/>
    <s v="No"/>
    <s v="-"/>
    <s v="Yes"/>
    <n v="20"/>
    <n v="10"/>
    <n v="20"/>
  </r>
  <r>
    <n v="3409"/>
    <s v="Paulo Quintana"/>
    <s v="Core"/>
    <d v="2024-08-22T00:00:00"/>
    <x v="1"/>
    <n v="5"/>
    <s v="Quarterly"/>
    <s v="No"/>
    <s v="-"/>
    <s v="No"/>
    <n v="0"/>
    <n v="1"/>
    <n v="4"/>
  </r>
  <r>
    <n v="3410"/>
    <s v="Raquel Domingos"/>
    <s v="Ultimate"/>
    <d v="2024-08-23T00:00:00"/>
    <x v="0"/>
    <n v="15"/>
    <s v="Monthly"/>
    <s v="Yes"/>
    <n v="30"/>
    <s v="Yes"/>
    <n v="20"/>
    <n v="15"/>
    <n v="50"/>
  </r>
  <r>
    <n v="3411"/>
    <s v="Samuel Viana"/>
    <s v="Standard"/>
    <d v="2024-08-24T00:00:00"/>
    <x v="1"/>
    <n v="10"/>
    <s v="Monthly"/>
    <s v="No"/>
    <s v="-"/>
    <s v="Yes"/>
    <n v="20"/>
    <n v="5"/>
    <n v="25"/>
  </r>
  <r>
    <n v="3412"/>
    <s v="Tatiane Rocha"/>
    <s v="Core"/>
    <d v="2024-08-25T00:00:00"/>
    <x v="0"/>
    <n v="5"/>
    <s v="Annual"/>
    <s v="No"/>
    <s v="-"/>
    <s v="No"/>
    <n v="0"/>
    <n v="0"/>
    <n v="5"/>
  </r>
  <r>
    <n v="3413"/>
    <s v="Ulysses Farias"/>
    <s v="Ultimate"/>
    <d v="2024-08-26T00:00:00"/>
    <x v="1"/>
    <n v="15"/>
    <s v="Quarterly"/>
    <s v="Yes"/>
    <n v="30"/>
    <s v="Yes"/>
    <n v="20"/>
    <n v="20"/>
    <n v="45"/>
  </r>
  <r>
    <n v="3414"/>
    <s v="Vanessa Moreira"/>
    <s v="Standard"/>
    <d v="2024-08-27T00:00:00"/>
    <x v="0"/>
    <n v="10"/>
    <s v="Quarterly"/>
    <s v="No"/>
    <s v="-"/>
    <s v="Yes"/>
    <n v="20"/>
    <n v="12"/>
    <n v="18"/>
  </r>
  <r>
    <n v="3415"/>
    <s v="William Carvalho"/>
    <s v="Core"/>
    <d v="2024-08-28T00:00:00"/>
    <x v="1"/>
    <n v="5"/>
    <s v="Monthly"/>
    <s v="No"/>
    <s v="-"/>
    <s v="No"/>
    <n v="0"/>
    <n v="2"/>
    <n v="3"/>
  </r>
  <r>
    <n v="3416"/>
    <s v="Ximena Barros"/>
    <s v="Ultimate"/>
    <d v="2024-08-29T00:00:00"/>
    <x v="0"/>
    <n v="15"/>
    <s v="Annual"/>
    <s v="Yes"/>
    <n v="30"/>
    <s v="Yes"/>
    <n v="20"/>
    <n v="5"/>
    <n v="60"/>
  </r>
  <r>
    <n v="3417"/>
    <s v="Yara Machado"/>
    <s v="Standard"/>
    <d v="2024-08-30T00:00:00"/>
    <x v="1"/>
    <n v="10"/>
    <s v="Monthly"/>
    <s v="No"/>
    <s v="-"/>
    <s v="Yes"/>
    <n v="20"/>
    <n v="10"/>
    <n v="20"/>
  </r>
  <r>
    <n v="3418"/>
    <s v="Zacarias Costa"/>
    <s v="Core"/>
    <d v="2024-08-31T00:00:00"/>
    <x v="0"/>
    <n v="5"/>
    <s v="Quarterly"/>
    <s v="No"/>
    <s v="-"/>
    <s v="No"/>
    <n v="0"/>
    <n v="0"/>
    <n v="5"/>
  </r>
  <r>
    <n v="3419"/>
    <s v="André Lopes"/>
    <s v="Ultimate"/>
    <d v="2024-09-01T00:00:00"/>
    <x v="1"/>
    <n v="15"/>
    <s v="Monthly"/>
    <s v="Yes"/>
    <n v="30"/>
    <s v="Yes"/>
    <n v="20"/>
    <n v="3"/>
    <n v="62"/>
  </r>
  <r>
    <n v="3420"/>
    <s v="Beatriz Souza"/>
    <s v="Standard"/>
    <d v="2024-09-02T00:00:00"/>
    <x v="0"/>
    <n v="10"/>
    <s v="Annual"/>
    <s v="No"/>
    <s v="-"/>
    <s v="Yes"/>
    <n v="20"/>
    <n v="15"/>
    <n v="15"/>
  </r>
  <r>
    <n v="3421"/>
    <s v="Caio Pereira"/>
    <s v="Core"/>
    <d v="2024-09-03T00:00:00"/>
    <x v="1"/>
    <n v="5"/>
    <s v="Monthly"/>
    <s v="No"/>
    <s v="-"/>
    <s v="No"/>
    <n v="0"/>
    <n v="1"/>
    <n v="4"/>
  </r>
  <r>
    <n v="3422"/>
    <s v="Daniela Araújo"/>
    <s v="Ultimate"/>
    <d v="2024-09-04T00:00:00"/>
    <x v="0"/>
    <n v="15"/>
    <s v="Quarterly"/>
    <s v="Yes"/>
    <n v="30"/>
    <s v="Yes"/>
    <n v="20"/>
    <n v="7"/>
    <n v="58"/>
  </r>
  <r>
    <n v="3423"/>
    <s v="Eduardo Santos"/>
    <s v="Standard"/>
    <d v="2024-09-05T00:00:00"/>
    <x v="1"/>
    <n v="10"/>
    <s v="Monthly"/>
    <s v="No"/>
    <s v="-"/>
    <s v="Yes"/>
    <n v="20"/>
    <n v="10"/>
    <n v="20"/>
  </r>
  <r>
    <n v="3424"/>
    <s v="Fernanda Lima"/>
    <s v="Core"/>
    <d v="2024-09-06T00:00:00"/>
    <x v="0"/>
    <n v="5"/>
    <s v="Annual"/>
    <s v="No"/>
    <s v="-"/>
    <s v="No"/>
    <n v="0"/>
    <n v="0"/>
    <n v="5"/>
  </r>
  <r>
    <n v="3425"/>
    <s v="Gabriel Teixeira"/>
    <s v="Ultimate"/>
    <d v="2024-09-07T00:00:00"/>
    <x v="1"/>
    <n v="15"/>
    <s v="Monthly"/>
    <s v="Yes"/>
    <n v="30"/>
    <s v="Yes"/>
    <n v="20"/>
    <n v="20"/>
    <n v="45"/>
  </r>
  <r>
    <n v="3426"/>
    <s v="Helena Ribeiro"/>
    <s v="Standard"/>
    <d v="2024-09-08T00:00:00"/>
    <x v="0"/>
    <n v="10"/>
    <s v="Quarterly"/>
    <s v="No"/>
    <s v="-"/>
    <s v="Yes"/>
    <n v="20"/>
    <n v="15"/>
    <n v="15"/>
  </r>
  <r>
    <n v="3427"/>
    <s v="Igor Mendes"/>
    <s v="Core"/>
    <d v="2024-09-09T00:00:00"/>
    <x v="1"/>
    <n v="5"/>
    <s v="Monthly"/>
    <s v="No"/>
    <s v="-"/>
    <s v="No"/>
    <n v="0"/>
    <n v="1"/>
    <n v="4"/>
  </r>
  <r>
    <n v="3428"/>
    <s v="Joana Silveira"/>
    <s v="Ultimate"/>
    <d v="2024-09-10T00:00:00"/>
    <x v="0"/>
    <n v="15"/>
    <s v="Annual"/>
    <s v="Yes"/>
    <n v="30"/>
    <s v="Yes"/>
    <n v="20"/>
    <n v="3"/>
    <n v="62"/>
  </r>
  <r>
    <n v="3429"/>
    <s v="Lucas Martins"/>
    <s v="Standard"/>
    <d v="2024-09-11T00:00:00"/>
    <x v="1"/>
    <n v="10"/>
    <s v="Monthly"/>
    <s v="No"/>
    <s v="-"/>
    <s v="Yes"/>
    <n v="20"/>
    <n v="10"/>
    <n v="20"/>
  </r>
  <r>
    <n v="3430"/>
    <s v="Marcela Gouveia"/>
    <s v="Core"/>
    <d v="2024-09-12T00:00:00"/>
    <x v="0"/>
    <n v="5"/>
    <s v="Quarterly"/>
    <s v="No"/>
    <s v="-"/>
    <s v="No"/>
    <n v="0"/>
    <n v="0"/>
    <n v="5"/>
  </r>
  <r>
    <n v="3431"/>
    <s v="Nicolas Borges"/>
    <s v="Ultimate"/>
    <d v="2024-09-13T00:00:00"/>
    <x v="1"/>
    <n v="15"/>
    <s v="Monthly"/>
    <s v="Yes"/>
    <n v="30"/>
    <s v="Yes"/>
    <n v="20"/>
    <n v="15"/>
    <n v="50"/>
  </r>
  <r>
    <n v="3432"/>
    <s v="Olivia Freitas"/>
    <s v="Standard"/>
    <d v="2024-09-14T00:00:00"/>
    <x v="0"/>
    <n v="10"/>
    <s v="Annual"/>
    <s v="No"/>
    <s v="-"/>
    <s v="Yes"/>
    <n v="20"/>
    <n v="15"/>
    <n v="15"/>
  </r>
  <r>
    <n v="3433"/>
    <s v="Paulo Nogueira"/>
    <s v="Core"/>
    <d v="2024-09-15T00:00:00"/>
    <x v="1"/>
    <n v="5"/>
    <s v="Monthly"/>
    <s v="No"/>
    <s v="-"/>
    <s v="No"/>
    <n v="0"/>
    <n v="1"/>
    <n v="4"/>
  </r>
  <r>
    <n v="3434"/>
    <s v="Raquel Andrade"/>
    <s v="Ultimate"/>
    <d v="2024-09-16T00:00:00"/>
    <x v="0"/>
    <n v="15"/>
    <s v="Quarterly"/>
    <s v="Yes"/>
    <n v="30"/>
    <s v="Yes"/>
    <n v="20"/>
    <n v="7"/>
    <n v="58"/>
  </r>
  <r>
    <n v="3435"/>
    <s v="Sônia Carvalho"/>
    <s v="Standard"/>
    <d v="2024-09-17T00:00:00"/>
    <x v="1"/>
    <n v="10"/>
    <s v="Monthly"/>
    <s v="No"/>
    <s v="-"/>
    <s v="Yes"/>
    <n v="20"/>
    <n v="10"/>
    <n v="20"/>
  </r>
  <r>
    <n v="3436"/>
    <s v="Tiago Rodrigues"/>
    <s v="Core"/>
    <d v="2024-09-18T00:00:00"/>
    <x v="0"/>
    <n v="5"/>
    <s v="Monthly"/>
    <s v="No"/>
    <s v="-"/>
    <s v="No"/>
    <n v="0"/>
    <n v="0"/>
    <n v="5"/>
  </r>
  <r>
    <n v="3437"/>
    <s v="Ursula Monteiro"/>
    <s v="Ultimate"/>
    <d v="2024-09-19T00:00:00"/>
    <x v="1"/>
    <n v="15"/>
    <s v="Quarterly"/>
    <s v="Yes"/>
    <n v="30"/>
    <s v="Yes"/>
    <n v="20"/>
    <n v="7"/>
    <n v="58"/>
  </r>
  <r>
    <n v="3438"/>
    <s v="Vanessa Pereira"/>
    <s v="Standard"/>
    <d v="2024-09-20T00:00:00"/>
    <x v="0"/>
    <n v="10"/>
    <s v="Annual"/>
    <s v="No"/>
    <s v="-"/>
    <s v="Yes"/>
    <n v="20"/>
    <n v="10"/>
    <n v="20"/>
  </r>
  <r>
    <n v="3439"/>
    <s v="Walter Silva"/>
    <s v="Core"/>
    <d v="2024-09-21T00:00:00"/>
    <x v="1"/>
    <n v="5"/>
    <s v="Quarterly"/>
    <s v="No"/>
    <s v="-"/>
    <s v="No"/>
    <n v="0"/>
    <n v="1"/>
    <n v="4"/>
  </r>
  <r>
    <n v="3440"/>
    <s v="Xavier Almeida"/>
    <s v="Ultimate"/>
    <d v="2024-09-22T00:00:00"/>
    <x v="0"/>
    <n v="15"/>
    <s v="Monthly"/>
    <s v="Yes"/>
    <n v="30"/>
    <s v="Yes"/>
    <n v="20"/>
    <n v="15"/>
    <n v="50"/>
  </r>
  <r>
    <n v="3441"/>
    <s v="Yasmine Correia"/>
    <s v="Standard"/>
    <d v="2024-09-23T00:00:00"/>
    <x v="1"/>
    <n v="10"/>
    <s v="Monthly"/>
    <s v="No"/>
    <s v="-"/>
    <s v="Yes"/>
    <n v="20"/>
    <n v="5"/>
    <n v="25"/>
  </r>
  <r>
    <n v="3442"/>
    <s v="Zacarias Almeida"/>
    <s v="Core"/>
    <d v="2024-09-24T00:00:00"/>
    <x v="0"/>
    <n v="5"/>
    <s v="Annual"/>
    <s v="No"/>
    <s v="-"/>
    <s v="No"/>
    <n v="0"/>
    <n v="0"/>
    <n v="5"/>
  </r>
  <r>
    <n v="3443"/>
    <s v="Amanda Costa"/>
    <s v="Ultimate"/>
    <d v="2024-09-25T00:00:00"/>
    <x v="1"/>
    <n v="15"/>
    <s v="Quarterly"/>
    <s v="Yes"/>
    <n v="30"/>
    <s v="Yes"/>
    <n v="20"/>
    <n v="20"/>
    <n v="45"/>
  </r>
  <r>
    <n v="3444"/>
    <s v="Bruno Ferreira"/>
    <s v="Standard"/>
    <d v="2024-09-26T00:00:00"/>
    <x v="0"/>
    <n v="10"/>
    <s v="Quarterly"/>
    <s v="No"/>
    <s v="-"/>
    <s v="Yes"/>
    <n v="20"/>
    <n v="12"/>
    <n v="18"/>
  </r>
  <r>
    <n v="3445"/>
    <s v="Carla Dias"/>
    <s v="Core"/>
    <d v="2024-09-27T00:00:00"/>
    <x v="1"/>
    <n v="5"/>
    <s v="Monthly"/>
    <s v="No"/>
    <s v="-"/>
    <s v="No"/>
    <n v="0"/>
    <n v="2"/>
    <n v="3"/>
  </r>
  <r>
    <n v="3446"/>
    <s v="Diogo Martins"/>
    <s v="Ultimate"/>
    <d v="2024-09-28T00:00:00"/>
    <x v="0"/>
    <n v="15"/>
    <s v="Annual"/>
    <s v="Yes"/>
    <n v="30"/>
    <s v="Yes"/>
    <n v="20"/>
    <n v="5"/>
    <n v="60"/>
  </r>
  <r>
    <n v="3447"/>
    <s v="Elisa Campos"/>
    <s v="Standard"/>
    <d v="2024-09-29T00:00:00"/>
    <x v="1"/>
    <n v="10"/>
    <s v="Monthly"/>
    <s v="No"/>
    <s v="-"/>
    <s v="Yes"/>
    <n v="20"/>
    <n v="10"/>
    <n v="20"/>
  </r>
  <r>
    <n v="3448"/>
    <s v="Fabiana Lima"/>
    <s v="Core"/>
    <d v="2024-09-30T00:00:00"/>
    <x v="0"/>
    <n v="5"/>
    <s v="Quarterly"/>
    <s v="No"/>
    <s v="-"/>
    <s v="No"/>
    <n v="0"/>
    <n v="0"/>
    <n v="5"/>
  </r>
  <r>
    <n v="3449"/>
    <s v="Gabriel Santos"/>
    <s v="Ultimate"/>
    <d v="2024-10-01T00:00:00"/>
    <x v="1"/>
    <n v="15"/>
    <s v="Monthly"/>
    <s v="Yes"/>
    <n v="30"/>
    <s v="Yes"/>
    <n v="20"/>
    <n v="3"/>
    <n v="62"/>
  </r>
  <r>
    <n v="3450"/>
    <s v="Helena Ferreira"/>
    <s v="Standard"/>
    <d v="2024-10-02T00:00:00"/>
    <x v="0"/>
    <n v="10"/>
    <s v="Annual"/>
    <s v="No"/>
    <s v="-"/>
    <s v="Yes"/>
    <n v="20"/>
    <n v="15"/>
    <n v="15"/>
  </r>
  <r>
    <n v="3451"/>
    <s v="Ígor Nunes"/>
    <s v="Core"/>
    <d v="2024-10-03T00:00:00"/>
    <x v="1"/>
    <n v="5"/>
    <s v="Monthly"/>
    <s v="No"/>
    <s v="-"/>
    <s v="No"/>
    <n v="0"/>
    <n v="1"/>
    <n v="4"/>
  </r>
  <r>
    <n v="3452"/>
    <s v="Joana Silveira"/>
    <s v="Ultimate"/>
    <d v="2024-10-04T00:00:00"/>
    <x v="0"/>
    <n v="15"/>
    <s v="Quarterly"/>
    <s v="Yes"/>
    <n v="30"/>
    <s v="Yes"/>
    <n v="20"/>
    <n v="7"/>
    <n v="58"/>
  </r>
  <r>
    <n v="3453"/>
    <s v="Kléber Oliveira"/>
    <s v="Standard"/>
    <d v="2024-10-05T00:00:00"/>
    <x v="1"/>
    <n v="10"/>
    <s v="Monthly"/>
    <s v="No"/>
    <s v="-"/>
    <s v="Yes"/>
    <n v="20"/>
    <n v="10"/>
    <n v="20"/>
  </r>
  <r>
    <n v="3454"/>
    <s v="Luciana Morais"/>
    <s v="Core"/>
    <d v="2024-10-06T00:00:00"/>
    <x v="0"/>
    <n v="5"/>
    <s v="Annual"/>
    <s v="No"/>
    <s v="-"/>
    <s v="No"/>
    <n v="0"/>
    <n v="0"/>
    <n v="5"/>
  </r>
  <r>
    <n v="3455"/>
    <s v="Marcos Vinícius"/>
    <s v="Ultimate"/>
    <d v="2024-10-07T00:00:00"/>
    <x v="1"/>
    <n v="15"/>
    <s v="Monthly"/>
    <s v="Yes"/>
    <n v="30"/>
    <s v="Yes"/>
    <n v="20"/>
    <n v="20"/>
    <n v="45"/>
  </r>
  <r>
    <n v="3456"/>
    <s v="Natália Barros"/>
    <s v="Standard"/>
    <d v="2024-10-08T00:00:00"/>
    <x v="0"/>
    <n v="10"/>
    <s v="Quarterly"/>
    <s v="No"/>
    <s v="-"/>
    <s v="Yes"/>
    <n v="20"/>
    <n v="15"/>
    <n v="15"/>
  </r>
  <r>
    <n v="3457"/>
    <s v="Oscar Sampaio"/>
    <s v="Core"/>
    <d v="2024-10-09T00:00:00"/>
    <x v="1"/>
    <n v="5"/>
    <s v="Monthly"/>
    <s v="No"/>
    <s v="-"/>
    <s v="No"/>
    <n v="0"/>
    <n v="1"/>
    <n v="4"/>
  </r>
  <r>
    <n v="3458"/>
    <s v="Patrícia Leite"/>
    <s v="Ultimate"/>
    <d v="2024-10-10T00:00:00"/>
    <x v="0"/>
    <n v="15"/>
    <s v="Annual"/>
    <s v="Yes"/>
    <n v="30"/>
    <s v="Yes"/>
    <n v="20"/>
    <n v="3"/>
    <n v="62"/>
  </r>
  <r>
    <n v="3459"/>
    <s v="Quênia Rocha"/>
    <s v="Standard"/>
    <d v="2024-10-11T00:00:00"/>
    <x v="1"/>
    <n v="10"/>
    <s v="Monthly"/>
    <s v="No"/>
    <s v="-"/>
    <s v="Yes"/>
    <n v="20"/>
    <n v="10"/>
    <n v="20"/>
  </r>
  <r>
    <n v="3460"/>
    <s v="Rafael Torres"/>
    <s v="Core"/>
    <d v="2024-10-12T00:00:00"/>
    <x v="0"/>
    <n v="5"/>
    <s v="Quarterly"/>
    <s v="No"/>
    <s v="-"/>
    <s v="No"/>
    <n v="0"/>
    <n v="0"/>
    <n v="5"/>
  </r>
  <r>
    <n v="3461"/>
    <s v="Sandra Gouveia"/>
    <s v="Ultimate"/>
    <d v="2024-10-13T00:00:00"/>
    <x v="1"/>
    <n v="15"/>
    <s v="Monthly"/>
    <s v="Yes"/>
    <n v="30"/>
    <s v="Yes"/>
    <n v="20"/>
    <n v="15"/>
    <n v="50"/>
  </r>
  <r>
    <n v="3462"/>
    <s v="Tiago Lacerda"/>
    <s v="Standard"/>
    <d v="2024-10-14T00:00:00"/>
    <x v="0"/>
    <n v="10"/>
    <s v="Annual"/>
    <s v="No"/>
    <s v="-"/>
    <s v="Yes"/>
    <n v="20"/>
    <n v="15"/>
    <n v="15"/>
  </r>
  <r>
    <n v="3463"/>
    <s v="Ursula Fonseca"/>
    <s v="Core"/>
    <d v="2024-10-15T00:00:00"/>
    <x v="1"/>
    <n v="5"/>
    <s v="Monthly"/>
    <s v="No"/>
    <s v="-"/>
    <s v="No"/>
    <n v="0"/>
    <n v="1"/>
    <n v="4"/>
  </r>
  <r>
    <n v="3464"/>
    <s v="Vanessa Andrade"/>
    <s v="Ultimate"/>
    <d v="2024-10-16T00:00:00"/>
    <x v="0"/>
    <n v="15"/>
    <s v="Quarterly"/>
    <s v="Yes"/>
    <n v="30"/>
    <s v="Yes"/>
    <n v="20"/>
    <n v="7"/>
    <n v="58"/>
  </r>
  <r>
    <n v="3465"/>
    <s v="William Castro"/>
    <s v="Standard"/>
    <d v="2024-10-17T00:00:00"/>
    <x v="1"/>
    <n v="10"/>
    <s v="Monthly"/>
    <s v="No"/>
    <s v="-"/>
    <s v="Yes"/>
    <n v="20"/>
    <n v="10"/>
    <n v="20"/>
  </r>
  <r>
    <n v="3466"/>
    <s v="Xavier Monteiro"/>
    <s v="Core"/>
    <d v="2024-10-18T00:00:00"/>
    <x v="0"/>
    <n v="5"/>
    <s v="Annual"/>
    <s v="No"/>
    <s v="-"/>
    <s v="No"/>
    <n v="0"/>
    <n v="0"/>
    <n v="5"/>
  </r>
  <r>
    <n v="3467"/>
    <s v="Yasmin Figueira"/>
    <s v="Ultimate"/>
    <d v="2024-10-19T00:00:00"/>
    <x v="1"/>
    <n v="15"/>
    <s v="Monthly"/>
    <s v="Yes"/>
    <n v="30"/>
    <s v="Yes"/>
    <n v="20"/>
    <n v="15"/>
    <n v="50"/>
  </r>
  <r>
    <n v="3468"/>
    <s v="Zacarias Mendonça"/>
    <s v="Standard"/>
    <d v="2024-10-20T00:00:00"/>
    <x v="0"/>
    <n v="10"/>
    <s v="Quarterly"/>
    <s v="No"/>
    <s v="-"/>
    <s v="Yes"/>
    <n v="20"/>
    <n v="12"/>
    <n v="18"/>
  </r>
  <r>
    <n v="3469"/>
    <s v="Amanda Menezes"/>
    <s v="Core"/>
    <d v="2024-10-21T00:00:00"/>
    <x v="1"/>
    <n v="5"/>
    <s v="Monthly"/>
    <s v="No"/>
    <s v="-"/>
    <s v="No"/>
    <n v="0"/>
    <n v="2"/>
    <n v="3"/>
  </r>
  <r>
    <n v="3470"/>
    <s v="Bruno Santos"/>
    <s v="Ultimate"/>
    <d v="2024-10-22T00:00:00"/>
    <x v="0"/>
    <n v="15"/>
    <s v="Annual"/>
    <s v="Yes"/>
    <n v="30"/>
    <s v="Yes"/>
    <n v="20"/>
    <n v="5"/>
    <n v="60"/>
  </r>
  <r>
    <n v="3471"/>
    <s v="Carla Ferreira"/>
    <s v="Standard"/>
    <d v="2024-10-23T00:00:00"/>
    <x v="1"/>
    <n v="10"/>
    <s v="Monthly"/>
    <s v="No"/>
    <s v="-"/>
    <s v="Yes"/>
    <n v="20"/>
    <n v="10"/>
    <n v="20"/>
  </r>
  <r>
    <n v="3472"/>
    <s v="Diogo Alves"/>
    <s v="Core"/>
    <d v="2024-10-24T00:00:00"/>
    <x v="0"/>
    <n v="5"/>
    <s v="Quarterly"/>
    <s v="No"/>
    <s v="-"/>
    <s v="No"/>
    <n v="0"/>
    <n v="0"/>
    <n v="5"/>
  </r>
  <r>
    <n v="3473"/>
    <s v="Elisa Neves"/>
    <s v="Ultimate"/>
    <d v="2024-10-25T00:00:00"/>
    <x v="1"/>
    <n v="15"/>
    <s v="Monthly"/>
    <s v="Yes"/>
    <n v="30"/>
    <s v="Yes"/>
    <n v="20"/>
    <n v="3"/>
    <n v="62"/>
  </r>
  <r>
    <n v="3474"/>
    <s v="Fabiano Pires"/>
    <s v="Standard"/>
    <d v="2024-10-26T00:00:00"/>
    <x v="0"/>
    <n v="10"/>
    <s v="Annual"/>
    <s v="No"/>
    <s v="-"/>
    <s v="Yes"/>
    <n v="20"/>
    <n v="15"/>
    <n v="15"/>
  </r>
  <r>
    <n v="3475"/>
    <s v="Giovana Ribeiro"/>
    <s v="Core"/>
    <d v="2024-10-27T00:00:00"/>
    <x v="1"/>
    <n v="5"/>
    <s v="Monthly"/>
    <s v="No"/>
    <s v="-"/>
    <s v="No"/>
    <n v="0"/>
    <n v="1"/>
    <n v="4"/>
  </r>
  <r>
    <n v="3476"/>
    <s v="Hélio Costa"/>
    <s v="Ultimate"/>
    <d v="2024-10-28T00:00:00"/>
    <x v="0"/>
    <n v="15"/>
    <s v="Quarterly"/>
    <s v="Yes"/>
    <n v="30"/>
    <s v="Yes"/>
    <n v="20"/>
    <n v="7"/>
    <n v="58"/>
  </r>
  <r>
    <n v="3477"/>
    <s v="Íris Loureiro"/>
    <s v="Standard"/>
    <d v="2024-10-29T00:00:00"/>
    <x v="1"/>
    <n v="10"/>
    <s v="Monthly"/>
    <s v="No"/>
    <s v="-"/>
    <s v="Yes"/>
    <n v="20"/>
    <n v="10"/>
    <n v="20"/>
  </r>
  <r>
    <n v="3478"/>
    <s v="João Pereira"/>
    <s v="Core"/>
    <d v="2024-10-30T00:00:00"/>
    <x v="0"/>
    <n v="5"/>
    <s v="Annual"/>
    <s v="No"/>
    <s v="-"/>
    <s v="No"/>
    <n v="0"/>
    <n v="0"/>
    <n v="5"/>
  </r>
  <r>
    <n v="3479"/>
    <s v="Klara Silva"/>
    <s v="Ultimate"/>
    <d v="2024-10-31T00:00:00"/>
    <x v="1"/>
    <n v="15"/>
    <s v="Monthly"/>
    <s v="Yes"/>
    <n v="30"/>
    <s v="Yes"/>
    <n v="20"/>
    <n v="20"/>
    <n v="45"/>
  </r>
  <r>
    <n v="3480"/>
    <s v="Luciana Barros"/>
    <s v="Standard"/>
    <d v="2024-11-01T00:00:00"/>
    <x v="0"/>
    <n v="10"/>
    <s v="Quarterly"/>
    <s v="No"/>
    <s v="-"/>
    <s v="Yes"/>
    <n v="20"/>
    <n v="15"/>
    <n v="15"/>
  </r>
  <r>
    <n v="3481"/>
    <s v="Marcos Gomes"/>
    <s v="Core"/>
    <d v="2024-11-02T00:00:00"/>
    <x v="1"/>
    <n v="5"/>
    <s v="Monthly"/>
    <s v="No"/>
    <s v="-"/>
    <s v="No"/>
    <n v="0"/>
    <n v="1"/>
    <n v="4"/>
  </r>
  <r>
    <n v="3482"/>
    <s v="Natália Soares"/>
    <s v="Ultimate"/>
    <d v="2024-11-03T00:00:00"/>
    <x v="0"/>
    <n v="15"/>
    <s v="Annual"/>
    <s v="Yes"/>
    <n v="30"/>
    <s v="Yes"/>
    <n v="20"/>
    <n v="3"/>
    <n v="62"/>
  </r>
  <r>
    <n v="3483"/>
    <s v="Oscar Machado"/>
    <s v="Standard"/>
    <d v="2024-11-04T00:00:00"/>
    <x v="1"/>
    <n v="10"/>
    <s v="Monthly"/>
    <s v="No"/>
    <s v="-"/>
    <s v="Yes"/>
    <n v="20"/>
    <n v="10"/>
    <n v="20"/>
  </r>
  <r>
    <n v="3484"/>
    <s v="Patrícia Lima"/>
    <s v="Core"/>
    <d v="2024-11-05T00:00:00"/>
    <x v="0"/>
    <n v="5"/>
    <s v="Quarterly"/>
    <s v="No"/>
    <s v="-"/>
    <s v="No"/>
    <n v="0"/>
    <n v="0"/>
    <n v="5"/>
  </r>
  <r>
    <n v="3485"/>
    <s v="Quirino Neto"/>
    <s v="Ultimate"/>
    <d v="2024-11-06T00:00:00"/>
    <x v="1"/>
    <n v="15"/>
    <s v="Monthly"/>
    <s v="Yes"/>
    <n v="30"/>
    <s v="Yes"/>
    <n v="20"/>
    <n v="15"/>
    <n v="50"/>
  </r>
  <r>
    <n v="3486"/>
    <s v="Rafaela Souza"/>
    <s v="Core"/>
    <d v="2024-11-07T00:00:00"/>
    <x v="0"/>
    <n v="5"/>
    <s v="Monthly"/>
    <s v="No"/>
    <s v="-"/>
    <s v="No"/>
    <n v="0"/>
    <n v="0"/>
    <n v="5"/>
  </r>
  <r>
    <n v="3487"/>
    <s v="Sandro Almeida"/>
    <s v="Ultimate"/>
    <d v="2024-11-08T00:00:00"/>
    <x v="1"/>
    <n v="15"/>
    <s v="Quarterly"/>
    <s v="Yes"/>
    <n v="30"/>
    <s v="Yes"/>
    <n v="20"/>
    <n v="7"/>
    <n v="58"/>
  </r>
  <r>
    <n v="3488"/>
    <s v="Tânia Ribeiro"/>
    <s v="Standard"/>
    <d v="2024-11-09T00:00:00"/>
    <x v="0"/>
    <n v="10"/>
    <s v="Annual"/>
    <s v="No"/>
    <s v="-"/>
    <s v="Yes"/>
    <n v="20"/>
    <n v="10"/>
    <n v="20"/>
  </r>
  <r>
    <n v="3489"/>
    <s v="Ugo Dias"/>
    <s v="Core"/>
    <d v="2024-11-10T00:00:00"/>
    <x v="1"/>
    <n v="5"/>
    <s v="Quarterly"/>
    <s v="No"/>
    <s v="-"/>
    <s v="No"/>
    <n v="0"/>
    <n v="1"/>
    <n v="4"/>
  </r>
  <r>
    <n v="3490"/>
    <s v="Valéria Lima"/>
    <s v="Ultimate"/>
    <d v="2024-11-11T00:00:00"/>
    <x v="0"/>
    <n v="15"/>
    <s v="Monthly"/>
    <s v="Yes"/>
    <n v="30"/>
    <s v="Yes"/>
    <n v="20"/>
    <n v="15"/>
    <n v="50"/>
  </r>
  <r>
    <n v="3491"/>
    <s v="William Fernandes"/>
    <s v="Standard"/>
    <d v="2024-11-12T00:00:00"/>
    <x v="1"/>
    <n v="10"/>
    <s v="Monthly"/>
    <s v="No"/>
    <s v="-"/>
    <s v="Yes"/>
    <n v="20"/>
    <n v="5"/>
    <n v="25"/>
  </r>
  <r>
    <n v="3492"/>
    <s v="Xuxa Mendes"/>
    <s v="Core"/>
    <d v="2024-11-13T00:00:00"/>
    <x v="0"/>
    <n v="5"/>
    <s v="Annual"/>
    <s v="No"/>
    <s v="-"/>
    <s v="No"/>
    <n v="0"/>
    <n v="0"/>
    <n v="5"/>
  </r>
  <r>
    <n v="3493"/>
    <s v="Ygor Farias"/>
    <s v="Ultimate"/>
    <d v="2024-11-14T00:00:00"/>
    <x v="1"/>
    <n v="15"/>
    <s v="Quarterly"/>
    <s v="Yes"/>
    <n v="30"/>
    <s v="Yes"/>
    <n v="20"/>
    <n v="20"/>
    <n v="45"/>
  </r>
  <r>
    <n v="3494"/>
    <s v="Zilda Barros"/>
    <s v="Standard"/>
    <d v="2024-11-15T00:00:00"/>
    <x v="0"/>
    <n v="10"/>
    <s v="Quarterly"/>
    <s v="No"/>
    <s v="-"/>
    <s v="Yes"/>
    <n v="20"/>
    <n v="12"/>
    <n v="18"/>
  </r>
  <r>
    <n v="3495"/>
    <s v="Amanda Santos"/>
    <s v="Core"/>
    <d v="2024-11-16T00:00:00"/>
    <x v="1"/>
    <n v="5"/>
    <s v="Monthly"/>
    <s v="No"/>
    <s v="-"/>
    <s v="No"/>
    <n v="0"/>
    <n v="2"/>
    <n v="3"/>
  </r>
  <r>
    <n v="3496"/>
    <s v="Bruno Costa"/>
    <s v="Ultimate"/>
    <d v="2024-11-17T00:00:00"/>
    <x v="0"/>
    <n v="15"/>
    <s v="Annual"/>
    <s v="Yes"/>
    <n v="30"/>
    <s v="Yes"/>
    <n v="20"/>
    <n v="5"/>
    <n v="60"/>
  </r>
  <r>
    <n v="3497"/>
    <s v="Carla Rodrigues"/>
    <s v="Standard"/>
    <d v="2024-11-18T00:00:00"/>
    <x v="1"/>
    <n v="10"/>
    <s v="Monthly"/>
    <s v="No"/>
    <s v="-"/>
    <s v="Yes"/>
    <n v="20"/>
    <n v="10"/>
    <n v="20"/>
  </r>
  <r>
    <n v="3498"/>
    <s v="Diogo Pereira"/>
    <s v="Core"/>
    <d v="2024-11-19T00:00:00"/>
    <x v="0"/>
    <n v="5"/>
    <s v="Quarterly"/>
    <s v="No"/>
    <s v="-"/>
    <s v="No"/>
    <n v="0"/>
    <n v="0"/>
    <n v="5"/>
  </r>
  <r>
    <n v="3499"/>
    <s v="Elisa Correia"/>
    <s v="Ultimate"/>
    <d v="2024-11-20T00:00:00"/>
    <x v="1"/>
    <n v="15"/>
    <s v="Monthly"/>
    <s v="Yes"/>
    <n v="30"/>
    <s v="Yes"/>
    <n v="20"/>
    <n v="3"/>
    <n v="62"/>
  </r>
  <r>
    <n v="3500"/>
    <s v="Fábio Lourenço"/>
    <s v="Standard"/>
    <d v="2024-11-21T00:00:00"/>
    <x v="0"/>
    <n v="10"/>
    <s v="Annual"/>
    <s v="No"/>
    <s v="-"/>
    <s v="Yes"/>
    <n v="20"/>
    <n v="15"/>
    <n v="15"/>
  </r>
  <r>
    <n v="3501"/>
    <s v="Gabriela Neves"/>
    <s v="Core"/>
    <d v="2024-11-22T00:00:00"/>
    <x v="1"/>
    <n v="5"/>
    <s v="Monthly"/>
    <s v="No"/>
    <s v="-"/>
    <s v="No"/>
    <n v="0"/>
    <n v="1"/>
    <n v="4"/>
  </r>
  <r>
    <n v="3502"/>
    <s v="Henrique Gonçalves"/>
    <s v="Ultimate"/>
    <d v="2024-11-23T00:00:00"/>
    <x v="0"/>
    <n v="15"/>
    <s v="Quarterly"/>
    <s v="Yes"/>
    <n v="30"/>
    <s v="Yes"/>
    <n v="20"/>
    <n v="7"/>
    <n v="58"/>
  </r>
  <r>
    <n v="3503"/>
    <s v="Íris Santos"/>
    <s v="Standard"/>
    <d v="2024-11-24T00:00:00"/>
    <x v="1"/>
    <n v="10"/>
    <s v="Monthly"/>
    <s v="No"/>
    <s v="-"/>
    <s v="Yes"/>
    <n v="20"/>
    <n v="10"/>
    <n v="20"/>
  </r>
  <r>
    <n v="3504"/>
    <s v="João Marcelo Alves"/>
    <s v="Core"/>
    <d v="2024-11-25T00:00:00"/>
    <x v="0"/>
    <n v="5"/>
    <s v="Annual"/>
    <s v="No"/>
    <s v="-"/>
    <s v="No"/>
    <n v="0"/>
    <n v="0"/>
    <n v="5"/>
  </r>
  <r>
    <n v="3505"/>
    <s v="Klara Fonseca"/>
    <s v="Ultimate"/>
    <d v="2024-11-26T00:00:00"/>
    <x v="1"/>
    <n v="15"/>
    <s v="Monthly"/>
    <s v="Yes"/>
    <n v="30"/>
    <s v="Yes"/>
    <n v="20"/>
    <n v="20"/>
    <n v="45"/>
  </r>
  <r>
    <n v="3506"/>
    <s v="Lucas Mendonça"/>
    <s v="Standard"/>
    <d v="2024-11-27T00:00:00"/>
    <x v="0"/>
    <n v="10"/>
    <s v="Quarterly"/>
    <s v="No"/>
    <s v="-"/>
    <s v="Yes"/>
    <n v="20"/>
    <n v="15"/>
    <n v="15"/>
  </r>
  <r>
    <n v="3507"/>
    <s v="Marcela Torres"/>
    <s v="Core"/>
    <d v="2024-11-28T00:00:00"/>
    <x v="1"/>
    <n v="5"/>
    <s v="Monthly"/>
    <s v="No"/>
    <s v="-"/>
    <s v="No"/>
    <n v="0"/>
    <n v="1"/>
    <n v="4"/>
  </r>
  <r>
    <n v="3508"/>
    <s v="Natália Castro"/>
    <s v="Ultimate"/>
    <d v="2024-11-29T00:00:00"/>
    <x v="0"/>
    <n v="15"/>
    <s v="Annual"/>
    <s v="Yes"/>
    <n v="30"/>
    <s v="Yes"/>
    <n v="20"/>
    <n v="3"/>
    <n v="62"/>
  </r>
  <r>
    <n v="3509"/>
    <s v="Oscar Martins"/>
    <s v="Standard"/>
    <d v="2024-11-30T00:00:00"/>
    <x v="1"/>
    <n v="10"/>
    <s v="Monthly"/>
    <s v="No"/>
    <s v="-"/>
    <s v="Yes"/>
    <n v="20"/>
    <n v="10"/>
    <n v="20"/>
  </r>
  <r>
    <n v="3510"/>
    <s v="Patrícia Oliveira"/>
    <s v="Core"/>
    <d v="2024-12-01T00:00:00"/>
    <x v="0"/>
    <n v="5"/>
    <s v="Quarterly"/>
    <s v="No"/>
    <s v="-"/>
    <s v="No"/>
    <n v="0"/>
    <n v="0"/>
    <n v="5"/>
  </r>
  <r>
    <n v="3511"/>
    <s v="Quentin Nogueira"/>
    <s v="Ultimate"/>
    <d v="2024-12-02T00:00:00"/>
    <x v="1"/>
    <n v="15"/>
    <s v="Monthly"/>
    <s v="Yes"/>
    <n v="30"/>
    <s v="Yes"/>
    <n v="20"/>
    <n v="15"/>
    <n v="50"/>
  </r>
  <r>
    <n v="3512"/>
    <s v="Raquel Silva"/>
    <s v="Standard"/>
    <d v="2024-12-03T00:00:00"/>
    <x v="0"/>
    <n v="10"/>
    <s v="Annual"/>
    <s v="No"/>
    <s v="-"/>
    <s v="Yes"/>
    <n v="20"/>
    <n v="15"/>
    <n v="15"/>
  </r>
  <r>
    <n v="3513"/>
    <s v="Sandro Gomes"/>
    <s v="Core"/>
    <d v="2024-12-04T00:00:00"/>
    <x v="1"/>
    <n v="5"/>
    <s v="Monthly"/>
    <s v="No"/>
    <s v="-"/>
    <s v="No"/>
    <n v="0"/>
    <n v="1"/>
    <n v="4"/>
  </r>
  <r>
    <n v="3514"/>
    <s v="Tânia Machado"/>
    <s v="Ultimate"/>
    <d v="2024-12-05T00:00:00"/>
    <x v="0"/>
    <n v="15"/>
    <s v="Quarterly"/>
    <s v="Yes"/>
    <n v="30"/>
    <s v="Yes"/>
    <n v="20"/>
    <n v="7"/>
    <n v="58"/>
  </r>
  <r>
    <n v="3515"/>
    <s v="Ursula Silva"/>
    <s v="Standard"/>
    <d v="2024-12-06T00:00:00"/>
    <x v="1"/>
    <n v="10"/>
    <s v="Monthly"/>
    <s v="No"/>
    <s v="-"/>
    <s v="Yes"/>
    <n v="20"/>
    <n v="10"/>
    <n v="20"/>
  </r>
  <r>
    <n v="3516"/>
    <s v="Vanessa Moraes"/>
    <s v="Core"/>
    <d v="2024-12-07T00:00:00"/>
    <x v="0"/>
    <n v="5"/>
    <s v="Annual"/>
    <s v="No"/>
    <s v="-"/>
    <s v="No"/>
    <n v="0"/>
    <n v="0"/>
    <n v="5"/>
  </r>
  <r>
    <n v="3517"/>
    <s v="William Carvalho"/>
    <s v="Ultimate"/>
    <d v="2024-12-08T00:00:00"/>
    <x v="1"/>
    <n v="15"/>
    <s v="Monthly"/>
    <s v="Yes"/>
    <n v="30"/>
    <s v="Yes"/>
    <n v="20"/>
    <n v="20"/>
    <n v="45"/>
  </r>
  <r>
    <n v="3518"/>
    <s v="Xavier Reis"/>
    <s v="Standard"/>
    <d v="2024-12-09T00:00:00"/>
    <x v="0"/>
    <n v="10"/>
    <s v="Quarterly"/>
    <s v="No"/>
    <s v="-"/>
    <s v="Yes"/>
    <n v="20"/>
    <n v="12"/>
    <n v="18"/>
  </r>
  <r>
    <n v="3519"/>
    <s v="Yasmin Rocha"/>
    <s v="Core"/>
    <d v="2024-12-10T00:00:00"/>
    <x v="1"/>
    <n v="5"/>
    <s v="Monthly"/>
    <s v="No"/>
    <s v="-"/>
    <s v="No"/>
    <n v="0"/>
    <n v="2"/>
    <n v="3"/>
  </r>
  <r>
    <n v="3520"/>
    <s v="Zacarias Duarte"/>
    <s v="Ultimate"/>
    <d v="2024-12-11T00:00:00"/>
    <x v="0"/>
    <n v="15"/>
    <s v="Annual"/>
    <s v="Yes"/>
    <n v="30"/>
    <s v="Yes"/>
    <n v="20"/>
    <n v="5"/>
    <n v="60"/>
  </r>
  <r>
    <n v="3521"/>
    <s v="Amanda Freitas"/>
    <s v="Standard"/>
    <d v="2024-12-12T00:00:00"/>
    <x v="1"/>
    <n v="10"/>
    <s v="Monthly"/>
    <s v="No"/>
    <s v="-"/>
    <s v="Yes"/>
    <n v="20"/>
    <n v="10"/>
    <n v="20"/>
  </r>
  <r>
    <n v="3522"/>
    <s v="Bruno Almeida"/>
    <s v="Core"/>
    <d v="2024-12-13T00:00:00"/>
    <x v="0"/>
    <n v="5"/>
    <s v="Quarterly"/>
    <s v="No"/>
    <s v="-"/>
    <s v="No"/>
    <n v="0"/>
    <n v="0"/>
    <n v="5"/>
  </r>
  <r>
    <n v="3523"/>
    <s v="Carla Siqueira"/>
    <s v="Ultimate"/>
    <d v="2024-12-14T00:00:00"/>
    <x v="1"/>
    <n v="15"/>
    <s v="Monthly"/>
    <s v="Yes"/>
    <n v="30"/>
    <s v="Yes"/>
    <n v="20"/>
    <n v="3"/>
    <n v="6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s v="Ultimate"/>
    <d v="2024-01-01T00:00:00"/>
    <x v="0"/>
    <n v="15"/>
    <s v="Monthly"/>
    <s v="Yes"/>
    <n v="30"/>
    <s v="Yes"/>
    <n v="20"/>
    <n v="5"/>
    <n v="60"/>
  </r>
  <r>
    <n v="3232"/>
    <s v="Maria Oliveira"/>
    <s v="Core"/>
    <d v="2024-01-15T00:00:00"/>
    <x v="1"/>
    <n v="5"/>
    <s v="Annual"/>
    <s v="No"/>
    <s v="-"/>
    <s v="No"/>
    <n v="0"/>
    <n v="0"/>
    <n v="5"/>
  </r>
  <r>
    <n v="3233"/>
    <s v="Lucas Fernandes"/>
    <s v="Standard"/>
    <d v="2024-02-10T00:00:00"/>
    <x v="0"/>
    <n v="10"/>
    <s v="Quarterly"/>
    <s v="No"/>
    <s v="-"/>
    <s v="Yes"/>
    <n v="20"/>
    <n v="10"/>
    <n v="20"/>
  </r>
  <r>
    <n v="3234"/>
    <s v="Ana Souza"/>
    <s v="Ultimate"/>
    <d v="2024-02-20T00:00:00"/>
    <x v="1"/>
    <n v="15"/>
    <s v="Monthly"/>
    <s v="Yes"/>
    <n v="30"/>
    <s v="Yes"/>
    <n v="20"/>
    <n v="3"/>
    <n v="62"/>
  </r>
  <r>
    <n v="3235"/>
    <s v="Pedro Gonçalves"/>
    <s v="Core"/>
    <d v="2024-03-05T00:00:00"/>
    <x v="0"/>
    <n v="5"/>
    <s v="Monthly"/>
    <s v="No"/>
    <s v="-"/>
    <s v="No"/>
    <n v="0"/>
    <n v="1"/>
    <n v="4"/>
  </r>
  <r>
    <n v="3236"/>
    <s v="Felipe Costa"/>
    <s v="Standard"/>
    <d v="2024-03-02T00:00:00"/>
    <x v="1"/>
    <n v="10"/>
    <s v="Monthly"/>
    <s v="No"/>
    <s v="-"/>
    <s v="Yes"/>
    <n v="20"/>
    <n v="2"/>
    <n v="28"/>
  </r>
  <r>
    <n v="3237"/>
    <s v="Camila Ribeiro"/>
    <s v="Ultimate"/>
    <d v="2024-03-03T00:00:00"/>
    <x v="0"/>
    <n v="15"/>
    <s v="Quarterly"/>
    <s v="Yes"/>
    <n v="30"/>
    <s v="Yes"/>
    <n v="20"/>
    <n v="10"/>
    <n v="55"/>
  </r>
  <r>
    <n v="3238"/>
    <s v="André Mendes"/>
    <s v="Core"/>
    <d v="2024-03-04T00:00:00"/>
    <x v="0"/>
    <n v="5"/>
    <s v="Annual"/>
    <s v="No"/>
    <s v="-"/>
    <s v="No"/>
    <n v="0"/>
    <n v="0"/>
    <n v="5"/>
  </r>
  <r>
    <n v="3239"/>
    <s v="Sofia Almeida"/>
    <s v="Ultimate"/>
    <d v="2024-03-05T00:00:00"/>
    <x v="1"/>
    <n v="15"/>
    <s v="Monthly"/>
    <s v="Yes"/>
    <n v="30"/>
    <s v="Yes"/>
    <n v="20"/>
    <n v="5"/>
    <n v="60"/>
  </r>
  <r>
    <n v="3240"/>
    <s v="Bruno Martins"/>
    <s v="Standard"/>
    <d v="2024-03-06T00:00:00"/>
    <x v="0"/>
    <n v="10"/>
    <s v="Quarterly"/>
    <s v="No"/>
    <s v="-"/>
    <s v="Yes"/>
    <n v="20"/>
    <n v="15"/>
    <n v="15"/>
  </r>
  <r>
    <n v="3241"/>
    <s v="Rita Castro"/>
    <s v="Core"/>
    <d v="2024-03-07T00:00:00"/>
    <x v="1"/>
    <n v="5"/>
    <s v="Monthly"/>
    <s v="No"/>
    <s v="-"/>
    <s v="No"/>
    <n v="0"/>
    <n v="1"/>
    <n v="4"/>
  </r>
  <r>
    <n v="3242"/>
    <s v="Marco Túlio"/>
    <s v="Ultimate"/>
    <d v="2024-03-08T00:00:00"/>
    <x v="0"/>
    <n v="15"/>
    <s v="Annual"/>
    <s v="Yes"/>
    <n v="30"/>
    <s v="Yes"/>
    <n v="20"/>
    <n v="20"/>
    <n v="45"/>
  </r>
  <r>
    <n v="3243"/>
    <s v="Lívia Silveira"/>
    <s v="Standard"/>
    <d v="2024-03-09T00:00:00"/>
    <x v="1"/>
    <n v="10"/>
    <s v="Monthly"/>
    <s v="No"/>
    <s v="-"/>
    <s v="Yes"/>
    <n v="20"/>
    <n v="10"/>
    <n v="20"/>
  </r>
  <r>
    <n v="3244"/>
    <s v="Diogo Sousa"/>
    <s v="Core"/>
    <d v="2024-03-10T00:00:00"/>
    <x v="0"/>
    <n v="5"/>
    <s v="Quarterly"/>
    <s v="No"/>
    <s v="-"/>
    <s v="No"/>
    <n v="0"/>
    <n v="0"/>
    <n v="5"/>
  </r>
  <r>
    <n v="3245"/>
    <s v="Fernanda Lima"/>
    <s v="Ultimate"/>
    <d v="2024-03-11T00:00:00"/>
    <x v="1"/>
    <n v="15"/>
    <s v="Monthly"/>
    <s v="Yes"/>
    <n v="30"/>
    <s v="Yes"/>
    <n v="20"/>
    <n v="8"/>
    <n v="57"/>
  </r>
  <r>
    <n v="3246"/>
    <s v="Caio Pereira"/>
    <s v="Standard"/>
    <d v="2024-03-12T00:00:00"/>
    <x v="0"/>
    <n v="10"/>
    <s v="Annual"/>
    <s v="No"/>
    <s v="-"/>
    <s v="Yes"/>
    <n v="20"/>
    <n v="12"/>
    <n v="18"/>
  </r>
  <r>
    <n v="3247"/>
    <s v="Beatriz Gomes"/>
    <s v="Core"/>
    <d v="2024-03-13T00:00:00"/>
    <x v="1"/>
    <n v="5"/>
    <s v="Monthly"/>
    <s v="No"/>
    <s v="-"/>
    <s v="No"/>
    <n v="0"/>
    <n v="2"/>
    <n v="3"/>
  </r>
  <r>
    <n v="3248"/>
    <s v="Cesar Oliveira"/>
    <s v="Ultimate"/>
    <d v="2024-03-14T00:00:00"/>
    <x v="0"/>
    <n v="15"/>
    <s v="Quarterly"/>
    <s v="Yes"/>
    <n v="30"/>
    <s v="Yes"/>
    <n v="20"/>
    <n v="7"/>
    <n v="58"/>
  </r>
  <r>
    <n v="3249"/>
    <s v="Débora Machado"/>
    <s v="Standard"/>
    <d v="2024-03-15T00:00:00"/>
    <x v="1"/>
    <n v="10"/>
    <s v="Monthly"/>
    <s v="No"/>
    <s v="-"/>
    <s v="Yes"/>
    <n v="20"/>
    <n v="5"/>
    <n v="25"/>
  </r>
  <r>
    <n v="3250"/>
    <s v="Eduardo Vargas"/>
    <s v="Core"/>
    <d v="2024-03-16T00:00:00"/>
    <x v="0"/>
    <n v="5"/>
    <s v="Annual"/>
    <s v="No"/>
    <s v="-"/>
    <s v="No"/>
    <n v="0"/>
    <n v="0"/>
    <n v="5"/>
  </r>
  <r>
    <n v="3251"/>
    <s v="Gabriela Santos"/>
    <s v="Ultimate"/>
    <d v="2024-03-17T00:00:00"/>
    <x v="1"/>
    <n v="15"/>
    <s v="Monthly"/>
    <s v="Yes"/>
    <n v="30"/>
    <s v="Yes"/>
    <n v="20"/>
    <n v="3"/>
    <n v="62"/>
  </r>
  <r>
    <n v="3252"/>
    <s v="Henrique Dias"/>
    <s v="Standard"/>
    <d v="2024-03-18T00:00:00"/>
    <x v="0"/>
    <n v="10"/>
    <s v="Quarterly"/>
    <s v="No"/>
    <s v="-"/>
    <s v="Yes"/>
    <n v="20"/>
    <n v="15"/>
    <n v="15"/>
  </r>
  <r>
    <n v="3253"/>
    <s v="Isabela Moreira"/>
    <s v="Core"/>
    <d v="2024-03-19T00:00:00"/>
    <x v="1"/>
    <n v="5"/>
    <s v="Monthly"/>
    <s v="No"/>
    <s v="-"/>
    <s v="No"/>
    <n v="0"/>
    <n v="1"/>
    <n v="4"/>
  </r>
  <r>
    <n v="3254"/>
    <s v="Joaquim Barbosa"/>
    <s v="Ultimate"/>
    <d v="2024-03-20T00:00:00"/>
    <x v="0"/>
    <n v="15"/>
    <s v="Annual"/>
    <s v="Yes"/>
    <n v="30"/>
    <s v="Yes"/>
    <n v="20"/>
    <n v="20"/>
    <n v="45"/>
  </r>
  <r>
    <n v="3255"/>
    <s v="Lara Rocha"/>
    <s v="Standard"/>
    <d v="2024-03-21T00:00:00"/>
    <x v="1"/>
    <n v="10"/>
    <s v="Monthly"/>
    <s v="No"/>
    <s v="-"/>
    <s v="Yes"/>
    <n v="20"/>
    <n v="10"/>
    <n v="20"/>
  </r>
  <r>
    <n v="3256"/>
    <s v="Matheus Silva"/>
    <s v="Core"/>
    <d v="2024-03-22T00:00:00"/>
    <x v="0"/>
    <n v="5"/>
    <s v="Quarterly"/>
    <s v="No"/>
    <s v="-"/>
    <s v="No"/>
    <n v="0"/>
    <n v="0"/>
    <n v="5"/>
  </r>
  <r>
    <n v="3257"/>
    <s v="Nicole Costa"/>
    <s v="Ultimate"/>
    <d v="2024-03-23T00:00:00"/>
    <x v="1"/>
    <n v="15"/>
    <s v="Monthly"/>
    <s v="Yes"/>
    <n v="30"/>
    <s v="Yes"/>
    <n v="20"/>
    <n v="5"/>
    <n v="60"/>
  </r>
  <r>
    <n v="3258"/>
    <s v="Otávio Mendonça"/>
    <s v="Standard"/>
    <d v="2024-03-24T00:00:00"/>
    <x v="0"/>
    <n v="10"/>
    <s v="Annual"/>
    <s v="No"/>
    <s v="-"/>
    <s v="Yes"/>
    <n v="20"/>
    <n v="15"/>
    <n v="15"/>
  </r>
  <r>
    <n v="3259"/>
    <s v="Paula Ferreira"/>
    <s v="Core"/>
    <d v="2024-03-25T00:00:00"/>
    <x v="1"/>
    <n v="5"/>
    <s v="Monthly"/>
    <s v="No"/>
    <s v="-"/>
    <s v="No"/>
    <n v="0"/>
    <n v="1"/>
    <n v="4"/>
  </r>
  <r>
    <n v="3260"/>
    <s v="Raquel Alves"/>
    <s v="Ultimate"/>
    <d v="2024-03-26T00:00:00"/>
    <x v="0"/>
    <n v="15"/>
    <s v="Quarterly"/>
    <s v="Yes"/>
    <n v="30"/>
    <s v="Yes"/>
    <n v="20"/>
    <n v="7"/>
    <n v="58"/>
  </r>
  <r>
    <n v="3261"/>
    <s v="Samuel Pires"/>
    <s v="Standard"/>
    <d v="2024-03-27T00:00:00"/>
    <x v="1"/>
    <n v="10"/>
    <s v="Monthly"/>
    <s v="No"/>
    <s v="-"/>
    <s v="Yes"/>
    <n v="20"/>
    <n v="10"/>
    <n v="20"/>
  </r>
  <r>
    <n v="3262"/>
    <s v="Tânia Barros"/>
    <s v="Core"/>
    <d v="2024-03-28T00:00:00"/>
    <x v="0"/>
    <n v="5"/>
    <s v="Annual"/>
    <s v="No"/>
    <s v="-"/>
    <s v="No"/>
    <n v="0"/>
    <n v="0"/>
    <n v="5"/>
  </r>
  <r>
    <n v="3263"/>
    <s v="Vinicius Lima"/>
    <s v="Ultimate"/>
    <d v="2024-03-29T00:00:00"/>
    <x v="1"/>
    <n v="15"/>
    <s v="Monthly"/>
    <s v="Yes"/>
    <n v="30"/>
    <s v="Yes"/>
    <n v="20"/>
    <n v="3"/>
    <n v="62"/>
  </r>
  <r>
    <n v="3264"/>
    <s v="Yasmin Teixeira"/>
    <s v="Standard"/>
    <d v="2024-03-30T00:00:00"/>
    <x v="0"/>
    <n v="10"/>
    <s v="Quarterly"/>
    <s v="No"/>
    <s v="-"/>
    <s v="Yes"/>
    <n v="20"/>
    <n v="15"/>
    <n v="15"/>
  </r>
  <r>
    <n v="3265"/>
    <s v="Zé Carlos"/>
    <s v="Core"/>
    <d v="2024-03-31T00:00:00"/>
    <x v="1"/>
    <n v="5"/>
    <s v="Monthly"/>
    <s v="No"/>
    <s v="-"/>
    <s v="No"/>
    <n v="0"/>
    <n v="1"/>
    <n v="4"/>
  </r>
  <r>
    <n v="3266"/>
    <s v="Amanda Nogueira"/>
    <s v="Core"/>
    <d v="2024-04-01T00:00:00"/>
    <x v="0"/>
    <n v="5"/>
    <s v="Monthly"/>
    <s v="No"/>
    <s v="-"/>
    <s v="No"/>
    <n v="0"/>
    <n v="0"/>
    <n v="5"/>
  </r>
  <r>
    <n v="3267"/>
    <s v="Bruno Cavalheiro"/>
    <s v="Ultimate"/>
    <d v="2024-04-02T00:00:00"/>
    <x v="1"/>
    <n v="15"/>
    <s v="Quarterly"/>
    <s v="Yes"/>
    <n v="30"/>
    <s v="Yes"/>
    <n v="20"/>
    <n v="7"/>
    <n v="58"/>
  </r>
  <r>
    <n v="3268"/>
    <s v="Carla Dias"/>
    <s v="Standard"/>
    <d v="2024-04-03T00:00:00"/>
    <x v="0"/>
    <n v="10"/>
    <s v="Annual"/>
    <s v="No"/>
    <s v="-"/>
    <s v="Yes"/>
    <n v="20"/>
    <n v="10"/>
    <n v="20"/>
  </r>
  <r>
    <n v="3269"/>
    <s v="Diego Fontes"/>
    <s v="Core"/>
    <d v="2024-04-04T00:00:00"/>
    <x v="1"/>
    <n v="5"/>
    <s v="Quarterly"/>
    <s v="No"/>
    <s v="-"/>
    <s v="No"/>
    <n v="0"/>
    <n v="1"/>
    <n v="4"/>
  </r>
  <r>
    <n v="3270"/>
    <s v="Eunice Lima"/>
    <s v="Ultimate"/>
    <d v="2024-04-05T00:00:00"/>
    <x v="0"/>
    <n v="15"/>
    <s v="Monthly"/>
    <s v="Yes"/>
    <n v="30"/>
    <s v="Yes"/>
    <n v="20"/>
    <n v="15"/>
    <n v="50"/>
  </r>
  <r>
    <n v="3271"/>
    <s v="Fábio Martins"/>
    <s v="Standard"/>
    <d v="2024-04-06T00:00:00"/>
    <x v="1"/>
    <n v="10"/>
    <s v="Monthly"/>
    <s v="No"/>
    <s v="-"/>
    <s v="Yes"/>
    <n v="20"/>
    <n v="5"/>
    <n v="25"/>
  </r>
  <r>
    <n v="3272"/>
    <s v="Gisele Araújo"/>
    <s v="Core"/>
    <d v="2024-04-07T00:00:00"/>
    <x v="0"/>
    <n v="5"/>
    <s v="Annual"/>
    <s v="No"/>
    <s v="-"/>
    <s v="No"/>
    <n v="0"/>
    <n v="0"/>
    <n v="5"/>
  </r>
  <r>
    <n v="3273"/>
    <s v="Hélio Castro"/>
    <s v="Ultimate"/>
    <d v="2024-04-08T00:00:00"/>
    <x v="1"/>
    <n v="15"/>
    <s v="Quarterly"/>
    <s v="Yes"/>
    <n v="30"/>
    <s v="Yes"/>
    <n v="20"/>
    <n v="20"/>
    <n v="45"/>
  </r>
  <r>
    <n v="3274"/>
    <s v="Ingrid Menezes"/>
    <s v="Standard"/>
    <d v="2024-04-09T00:00:00"/>
    <x v="0"/>
    <n v="10"/>
    <s v="Quarterly"/>
    <s v="No"/>
    <s v="-"/>
    <s v="Yes"/>
    <n v="20"/>
    <n v="12"/>
    <n v="18"/>
  </r>
  <r>
    <n v="3275"/>
    <s v="Jorge Baptista"/>
    <s v="Core"/>
    <d v="2024-04-10T00:00:00"/>
    <x v="1"/>
    <n v="5"/>
    <s v="Monthly"/>
    <s v="No"/>
    <s v="-"/>
    <s v="No"/>
    <n v="0"/>
    <n v="2"/>
    <n v="3"/>
  </r>
  <r>
    <n v="3276"/>
    <s v="Kléber Oliveira"/>
    <s v="Ultimate"/>
    <d v="2024-04-11T00:00:00"/>
    <x v="0"/>
    <n v="15"/>
    <s v="Annual"/>
    <s v="Yes"/>
    <n v="30"/>
    <s v="Yes"/>
    <n v="20"/>
    <n v="5"/>
    <n v="60"/>
  </r>
  <r>
    <n v="3277"/>
    <s v="Luciana Freitas"/>
    <s v="Standard"/>
    <d v="2024-04-12T00:00:00"/>
    <x v="1"/>
    <n v="10"/>
    <s v="Monthly"/>
    <s v="No"/>
    <s v="-"/>
    <s v="Yes"/>
    <n v="20"/>
    <n v="10"/>
    <n v="20"/>
  </r>
  <r>
    <n v="3278"/>
    <s v="Márcia Eller"/>
    <s v="Core"/>
    <d v="2024-04-13T00:00:00"/>
    <x v="0"/>
    <n v="5"/>
    <s v="Quarterly"/>
    <s v="No"/>
    <s v="-"/>
    <s v="No"/>
    <n v="0"/>
    <n v="0"/>
    <n v="5"/>
  </r>
  <r>
    <n v="3279"/>
    <s v="Nilo Peçanha"/>
    <s v="Ultimate"/>
    <d v="2024-04-14T00:00:00"/>
    <x v="1"/>
    <n v="15"/>
    <s v="Monthly"/>
    <s v="Yes"/>
    <n v="30"/>
    <s v="Yes"/>
    <n v="20"/>
    <n v="3"/>
    <n v="62"/>
  </r>
  <r>
    <n v="3280"/>
    <s v="Oscar Neves"/>
    <s v="Standard"/>
    <d v="2024-04-15T00:00:00"/>
    <x v="0"/>
    <n v="10"/>
    <s v="Annual"/>
    <s v="No"/>
    <s v="-"/>
    <s v="Yes"/>
    <n v="20"/>
    <n v="15"/>
    <n v="15"/>
  </r>
  <r>
    <n v="3281"/>
    <s v="Patrícia Soares"/>
    <s v="Core"/>
    <d v="2024-04-16T00:00:00"/>
    <x v="1"/>
    <n v="5"/>
    <s v="Monthly"/>
    <s v="No"/>
    <s v="-"/>
    <s v="No"/>
    <n v="0"/>
    <n v="1"/>
    <n v="4"/>
  </r>
  <r>
    <n v="3282"/>
    <s v="Quirino Gonçalves"/>
    <s v="Ultimate"/>
    <d v="2024-04-17T00:00:00"/>
    <x v="0"/>
    <n v="15"/>
    <s v="Quarterly"/>
    <s v="Yes"/>
    <n v="30"/>
    <s v="Yes"/>
    <n v="20"/>
    <n v="7"/>
    <n v="58"/>
  </r>
  <r>
    <n v="3283"/>
    <s v="Raul Machado"/>
    <s v="Standard"/>
    <d v="2024-04-18T00:00:00"/>
    <x v="1"/>
    <n v="10"/>
    <s v="Monthly"/>
    <s v="No"/>
    <s v="-"/>
    <s v="Yes"/>
    <n v="20"/>
    <n v="10"/>
    <n v="20"/>
  </r>
  <r>
    <n v="3284"/>
    <s v="Sônia Lobo"/>
    <s v="Core"/>
    <d v="2024-04-19T00:00:00"/>
    <x v="0"/>
    <n v="5"/>
    <s v="Annual"/>
    <s v="No"/>
    <s v="-"/>
    <s v="No"/>
    <n v="0"/>
    <n v="0"/>
    <n v="5"/>
  </r>
  <r>
    <n v="3285"/>
    <s v="Tiago Ramos"/>
    <s v="Ultimate"/>
    <d v="2024-04-20T00:00:00"/>
    <x v="1"/>
    <n v="15"/>
    <s v="Monthly"/>
    <s v="Yes"/>
    <n v="30"/>
    <s v="Yes"/>
    <n v="20"/>
    <n v="20"/>
    <n v="45"/>
  </r>
  <r>
    <n v="3286"/>
    <s v="Ugo Pires"/>
    <s v="Standard"/>
    <d v="2024-04-21T00:00:00"/>
    <x v="0"/>
    <n v="10"/>
    <s v="Quarterly"/>
    <s v="No"/>
    <s v="-"/>
    <s v="Yes"/>
    <n v="20"/>
    <n v="15"/>
    <n v="15"/>
  </r>
  <r>
    <n v="3287"/>
    <s v="Valéria Nobre"/>
    <s v="Core"/>
    <d v="2024-04-22T00:00:00"/>
    <x v="1"/>
    <n v="5"/>
    <s v="Monthly"/>
    <s v="No"/>
    <s v="-"/>
    <s v="No"/>
    <n v="0"/>
    <n v="1"/>
    <n v="4"/>
  </r>
  <r>
    <n v="3288"/>
    <s v="William Siqueira"/>
    <s v="Ultimate"/>
    <d v="2024-04-23T00:00:00"/>
    <x v="0"/>
    <n v="15"/>
    <s v="Annual"/>
    <s v="Yes"/>
    <n v="30"/>
    <s v="Yes"/>
    <n v="20"/>
    <n v="3"/>
    <n v="62"/>
  </r>
  <r>
    <n v="3289"/>
    <s v="Xuxa Meneghel"/>
    <s v="Standard"/>
    <d v="2024-04-24T00:00:00"/>
    <x v="1"/>
    <n v="10"/>
    <s v="Monthly"/>
    <s v="No"/>
    <s v="-"/>
    <s v="Yes"/>
    <n v="20"/>
    <n v="10"/>
    <n v="20"/>
  </r>
  <r>
    <n v="3290"/>
    <s v="Yara Figueiredo"/>
    <s v="Core"/>
    <d v="2024-04-25T00:00:00"/>
    <x v="0"/>
    <n v="5"/>
    <s v="Quarterly"/>
    <s v="No"/>
    <s v="-"/>
    <s v="No"/>
    <n v="0"/>
    <n v="0"/>
    <n v="5"/>
  </r>
  <r>
    <n v="3291"/>
    <s v="Zacarias Alves"/>
    <s v="Ultimate"/>
    <d v="2024-04-26T00:00:00"/>
    <x v="1"/>
    <n v="15"/>
    <s v="Monthly"/>
    <s v="Yes"/>
    <n v="30"/>
    <s v="Yes"/>
    <n v="20"/>
    <n v="5"/>
    <n v="60"/>
  </r>
  <r>
    <n v="3292"/>
    <s v="Amanda Bynes"/>
    <s v="Standard"/>
    <d v="2024-04-27T00:00:00"/>
    <x v="0"/>
    <n v="10"/>
    <s v="Annual"/>
    <s v="No"/>
    <s v="-"/>
    <s v="Yes"/>
    <n v="20"/>
    <n v="15"/>
    <n v="15"/>
  </r>
  <r>
    <n v="3293"/>
    <s v="Bruno Mars"/>
    <s v="Core"/>
    <d v="2024-04-28T00:00:00"/>
    <x v="1"/>
    <n v="5"/>
    <s v="Monthly"/>
    <s v="No"/>
    <s v="-"/>
    <s v="No"/>
    <n v="0"/>
    <n v="1"/>
    <n v="4"/>
  </r>
  <r>
    <n v="3294"/>
    <s v="Carla Bruni"/>
    <s v="Ultimate"/>
    <d v="2024-04-29T00:00:00"/>
    <x v="0"/>
    <n v="15"/>
    <s v="Quarterly"/>
    <s v="Yes"/>
    <n v="30"/>
    <s v="Yes"/>
    <n v="20"/>
    <n v="20"/>
    <n v="45"/>
  </r>
  <r>
    <n v="3295"/>
    <s v="Diego Maradona"/>
    <s v="Standard"/>
    <d v="2024-04-30T00:00:00"/>
    <x v="1"/>
    <n v="10"/>
    <s v="Monthly"/>
    <s v="No"/>
    <s v="-"/>
    <s v="Yes"/>
    <n v="20"/>
    <n v="5"/>
    <n v="25"/>
  </r>
  <r>
    <n v="3296"/>
    <s v="Estela Marques"/>
    <s v="Core"/>
    <d v="2024-05-01T00:00:00"/>
    <x v="1"/>
    <n v="5"/>
    <s v="Monthly"/>
    <s v="No"/>
    <s v="-"/>
    <s v="No"/>
    <n v="0"/>
    <n v="0"/>
    <n v="5"/>
  </r>
  <r>
    <n v="3297"/>
    <s v="Fábio Nobre"/>
    <s v="Ultimate"/>
    <d v="2024-05-02T00:00:00"/>
    <x v="0"/>
    <n v="15"/>
    <s v="Quarterly"/>
    <s v="Yes"/>
    <n v="30"/>
    <s v="Yes"/>
    <n v="20"/>
    <n v="7"/>
    <n v="58"/>
  </r>
  <r>
    <n v="3298"/>
    <s v="Gabriel Oliveira"/>
    <s v="Standard"/>
    <d v="2024-05-03T00:00:00"/>
    <x v="1"/>
    <n v="10"/>
    <s v="Annual"/>
    <s v="No"/>
    <s v="-"/>
    <s v="Yes"/>
    <n v="20"/>
    <n v="10"/>
    <n v="20"/>
  </r>
  <r>
    <n v="3299"/>
    <s v="Helena Santos"/>
    <s v="Core"/>
    <d v="2024-05-04T00:00:00"/>
    <x v="0"/>
    <n v="5"/>
    <s v="Quarterly"/>
    <s v="No"/>
    <s v="-"/>
    <s v="No"/>
    <n v="0"/>
    <n v="1"/>
    <n v="4"/>
  </r>
  <r>
    <n v="3300"/>
    <s v="Ivan Carvalho"/>
    <s v="Ultimate"/>
    <d v="2024-05-05T00:00:00"/>
    <x v="1"/>
    <n v="15"/>
    <s v="Monthly"/>
    <s v="Yes"/>
    <n v="30"/>
    <s v="Yes"/>
    <n v="20"/>
    <n v="15"/>
    <n v="50"/>
  </r>
  <r>
    <n v="3301"/>
    <s v="Júlia Ferreira"/>
    <s v="Standard"/>
    <d v="2024-05-06T00:00:00"/>
    <x v="0"/>
    <n v="10"/>
    <s v="Monthly"/>
    <s v="No"/>
    <s v="-"/>
    <s v="Yes"/>
    <n v="20"/>
    <n v="5"/>
    <n v="25"/>
  </r>
  <r>
    <n v="3302"/>
    <s v="Karla Alves"/>
    <s v="Core"/>
    <d v="2024-05-07T00:00:00"/>
    <x v="1"/>
    <n v="5"/>
    <s v="Annual"/>
    <s v="No"/>
    <s v="-"/>
    <s v="No"/>
    <n v="0"/>
    <n v="0"/>
    <n v="5"/>
  </r>
  <r>
    <n v="3303"/>
    <s v="Lucas Mendes"/>
    <s v="Ultimate"/>
    <d v="2024-05-08T00:00:00"/>
    <x v="0"/>
    <n v="15"/>
    <s v="Quarterly"/>
    <s v="Yes"/>
    <n v="30"/>
    <s v="Yes"/>
    <n v="20"/>
    <n v="20"/>
    <n v="45"/>
  </r>
  <r>
    <n v="3304"/>
    <s v="Mônica Gomes"/>
    <s v="Standard"/>
    <d v="2024-05-09T00:00:00"/>
    <x v="1"/>
    <n v="10"/>
    <s v="Quarterly"/>
    <s v="No"/>
    <s v="-"/>
    <s v="Yes"/>
    <n v="20"/>
    <n v="12"/>
    <n v="18"/>
  </r>
  <r>
    <n v="3305"/>
    <s v="Norberto Queiroz"/>
    <s v="Core"/>
    <d v="2024-05-10T00:00:00"/>
    <x v="0"/>
    <n v="5"/>
    <s v="Monthly"/>
    <s v="No"/>
    <s v="-"/>
    <s v="No"/>
    <n v="0"/>
    <n v="2"/>
    <n v="3"/>
  </r>
  <r>
    <n v="3306"/>
    <s v="Otávio Barros"/>
    <s v="Ultimate"/>
    <d v="2024-05-11T00:00:00"/>
    <x v="1"/>
    <n v="15"/>
    <s v="Annual"/>
    <s v="Yes"/>
    <n v="30"/>
    <s v="Yes"/>
    <n v="20"/>
    <n v="5"/>
    <n v="60"/>
  </r>
  <r>
    <n v="3307"/>
    <s v="Paula Vieira"/>
    <s v="Standard"/>
    <d v="2024-05-12T00:00:00"/>
    <x v="0"/>
    <n v="10"/>
    <s v="Monthly"/>
    <s v="No"/>
    <s v="-"/>
    <s v="Yes"/>
    <n v="20"/>
    <n v="10"/>
    <n v="20"/>
  </r>
  <r>
    <n v="3308"/>
    <s v="Quentin Ramos"/>
    <s v="Core"/>
    <d v="2024-05-13T00:00:00"/>
    <x v="1"/>
    <n v="5"/>
    <s v="Quarterly"/>
    <s v="No"/>
    <s v="-"/>
    <s v="No"/>
    <n v="0"/>
    <n v="0"/>
    <n v="5"/>
  </r>
  <r>
    <n v="3309"/>
    <s v="Raquel Novaes"/>
    <s v="Ultimate"/>
    <d v="2024-05-14T00:00:00"/>
    <x v="0"/>
    <n v="15"/>
    <s v="Monthly"/>
    <s v="Yes"/>
    <n v="30"/>
    <s v="Yes"/>
    <n v="20"/>
    <n v="3"/>
    <n v="62"/>
  </r>
  <r>
    <n v="3310"/>
    <s v="Samantha Lopes"/>
    <s v="Standard"/>
    <d v="2024-05-15T00:00:00"/>
    <x v="1"/>
    <n v="10"/>
    <s v="Annual"/>
    <s v="No"/>
    <s v="-"/>
    <s v="Yes"/>
    <n v="20"/>
    <n v="15"/>
    <n v="15"/>
  </r>
  <r>
    <n v="3311"/>
    <s v="Tiago Martins"/>
    <s v="Core"/>
    <d v="2024-05-16T00:00:00"/>
    <x v="0"/>
    <n v="5"/>
    <s v="Monthly"/>
    <s v="No"/>
    <s v="-"/>
    <s v="No"/>
    <n v="0"/>
    <n v="1"/>
    <n v="4"/>
  </r>
  <r>
    <n v="3312"/>
    <s v="Ulysses Guimarães"/>
    <s v="Ultimate"/>
    <d v="2024-05-17T00:00:00"/>
    <x v="1"/>
    <n v="15"/>
    <s v="Quarterly"/>
    <s v="Yes"/>
    <n v="30"/>
    <s v="Yes"/>
    <n v="20"/>
    <n v="7"/>
    <n v="58"/>
  </r>
  <r>
    <n v="3313"/>
    <s v="Vanessa Silva"/>
    <s v="Standard"/>
    <d v="2024-05-18T00:00:00"/>
    <x v="0"/>
    <n v="10"/>
    <s v="Monthly"/>
    <s v="No"/>
    <s v="-"/>
    <s v="Yes"/>
    <n v="20"/>
    <n v="10"/>
    <n v="20"/>
  </r>
  <r>
    <n v="3314"/>
    <s v="William Carneiro"/>
    <s v="Core"/>
    <d v="2024-05-19T00:00:00"/>
    <x v="1"/>
    <n v="5"/>
    <s v="Annual"/>
    <s v="No"/>
    <s v="-"/>
    <s v="No"/>
    <n v="0"/>
    <n v="0"/>
    <n v="5"/>
  </r>
  <r>
    <n v="3315"/>
    <s v="Ximena Rocha"/>
    <s v="Ultimate"/>
    <d v="2024-05-20T00:00:00"/>
    <x v="0"/>
    <n v="15"/>
    <s v="Monthly"/>
    <s v="Yes"/>
    <n v="30"/>
    <s v="Yes"/>
    <n v="20"/>
    <n v="20"/>
    <n v="45"/>
  </r>
  <r>
    <n v="3316"/>
    <s v="Yasmin Figueiredo"/>
    <s v="Standard"/>
    <d v="2024-05-21T00:00:00"/>
    <x v="1"/>
    <n v="10"/>
    <s v="Quarterly"/>
    <s v="No"/>
    <s v="-"/>
    <s v="Yes"/>
    <n v="20"/>
    <n v="15"/>
    <n v="15"/>
  </r>
  <r>
    <n v="3317"/>
    <s v="Zara Cunha"/>
    <s v="Core"/>
    <d v="2024-05-22T00:00:00"/>
    <x v="0"/>
    <n v="5"/>
    <s v="Monthly"/>
    <s v="No"/>
    <s v="-"/>
    <s v="No"/>
    <n v="0"/>
    <n v="1"/>
    <n v="4"/>
  </r>
  <r>
    <n v="3318"/>
    <s v="Alan Teixeira"/>
    <s v="Ultimate"/>
    <d v="2024-05-23T00:00:00"/>
    <x v="1"/>
    <n v="15"/>
    <s v="Annual"/>
    <s v="Yes"/>
    <n v="30"/>
    <s v="Yes"/>
    <n v="20"/>
    <n v="3"/>
    <n v="62"/>
  </r>
  <r>
    <n v="3319"/>
    <s v="Bárbara Oliveira"/>
    <s v="Standard"/>
    <d v="2024-05-24T00:00:00"/>
    <x v="0"/>
    <n v="10"/>
    <s v="Monthly"/>
    <s v="No"/>
    <s v="-"/>
    <s v="Yes"/>
    <n v="20"/>
    <n v="10"/>
    <n v="20"/>
  </r>
  <r>
    <n v="3320"/>
    <s v="Carlos Junqueira"/>
    <s v="Core"/>
    <d v="2024-05-25T00:00:00"/>
    <x v="1"/>
    <n v="5"/>
    <s v="Quarterly"/>
    <s v="No"/>
    <s v="-"/>
    <s v="No"/>
    <n v="0"/>
    <n v="0"/>
    <n v="5"/>
  </r>
  <r>
    <n v="3321"/>
    <s v="Daniela Moura"/>
    <s v="Ultimate"/>
    <d v="2024-05-26T00:00:00"/>
    <x v="0"/>
    <n v="15"/>
    <s v="Monthly"/>
    <s v="Yes"/>
    <n v="30"/>
    <s v="Yes"/>
    <n v="20"/>
    <n v="5"/>
    <n v="60"/>
  </r>
  <r>
    <n v="3322"/>
    <s v="Eduardo Lima"/>
    <s v="Standard"/>
    <d v="2024-05-27T00:00:00"/>
    <x v="1"/>
    <n v="10"/>
    <s v="Annual"/>
    <s v="No"/>
    <s v="-"/>
    <s v="Yes"/>
    <n v="20"/>
    <n v="15"/>
    <n v="15"/>
  </r>
  <r>
    <n v="3323"/>
    <s v="Fabiana Araújo"/>
    <s v="Core"/>
    <d v="2024-05-28T00:00:00"/>
    <x v="0"/>
    <n v="5"/>
    <s v="Monthly"/>
    <s v="No"/>
    <s v="-"/>
    <s v="No"/>
    <n v="0"/>
    <n v="1"/>
    <n v="4"/>
  </r>
  <r>
    <n v="3324"/>
    <s v="Geraldo Ribeiro"/>
    <s v="Ultimate"/>
    <d v="2024-05-29T00:00:00"/>
    <x v="1"/>
    <n v="15"/>
    <s v="Quarterly"/>
    <s v="Yes"/>
    <n v="30"/>
    <s v="Yes"/>
    <n v="20"/>
    <n v="20"/>
    <n v="45"/>
  </r>
  <r>
    <n v="3325"/>
    <s v="Héctor Vargas"/>
    <s v="Standard"/>
    <d v="2024-05-30T00:00:00"/>
    <x v="0"/>
    <n v="10"/>
    <s v="Quarterly"/>
    <s v="No"/>
    <s v="-"/>
    <s v="Yes"/>
    <n v="20"/>
    <n v="15"/>
    <n v="15"/>
  </r>
  <r>
    <n v="3326"/>
    <s v="Isabela Fonseca"/>
    <s v="Core"/>
    <d v="2024-05-31T00:00:00"/>
    <x v="1"/>
    <n v="5"/>
    <s v="Annual"/>
    <s v="No"/>
    <s v="-"/>
    <s v="No"/>
    <n v="0"/>
    <n v="0"/>
    <n v="5"/>
  </r>
  <r>
    <n v="3327"/>
    <s v="João Pedro Almeida"/>
    <s v="Ultimate"/>
    <d v="2024-06-01T00:00:00"/>
    <x v="0"/>
    <n v="15"/>
    <s v="Monthly"/>
    <s v="Yes"/>
    <n v="30"/>
    <s v="Yes"/>
    <n v="20"/>
    <n v="7"/>
    <n v="58"/>
  </r>
  <r>
    <n v="3328"/>
    <s v="Klara Costa"/>
    <s v="Standard"/>
    <d v="2024-06-02T00:00:00"/>
    <x v="1"/>
    <n v="10"/>
    <s v="Annual"/>
    <s v="No"/>
    <s v="-"/>
    <s v="Yes"/>
    <n v="20"/>
    <n v="10"/>
    <n v="20"/>
  </r>
  <r>
    <n v="3329"/>
    <s v="Luciana Mendes"/>
    <s v="Core"/>
    <d v="2024-06-03T00:00:00"/>
    <x v="0"/>
    <n v="5"/>
    <s v="Quarterly"/>
    <s v="No"/>
    <s v="-"/>
    <s v="No"/>
    <n v="0"/>
    <n v="1"/>
    <n v="4"/>
  </r>
  <r>
    <n v="3330"/>
    <s v="Marcelo Gouveia"/>
    <s v="Ultimate"/>
    <d v="2024-06-04T00:00:00"/>
    <x v="1"/>
    <n v="15"/>
    <s v="Monthly"/>
    <s v="Yes"/>
    <n v="30"/>
    <s v="Yes"/>
    <n v="20"/>
    <n v="15"/>
    <n v="50"/>
  </r>
  <r>
    <n v="3331"/>
    <s v="Nívea Borges"/>
    <s v="Standard"/>
    <d v="2024-06-05T00:00:00"/>
    <x v="0"/>
    <n v="10"/>
    <s v="Monthly"/>
    <s v="No"/>
    <s v="-"/>
    <s v="Yes"/>
    <n v="20"/>
    <n v="5"/>
    <n v="25"/>
  </r>
  <r>
    <n v="3332"/>
    <s v="Oscar Nogueira"/>
    <s v="Core"/>
    <d v="2024-06-06T00:00:00"/>
    <x v="1"/>
    <n v="5"/>
    <s v="Annual"/>
    <s v="No"/>
    <s v="-"/>
    <s v="No"/>
    <n v="0"/>
    <n v="0"/>
    <n v="5"/>
  </r>
  <r>
    <n v="3333"/>
    <s v="Patrícia Alves"/>
    <s v="Ultimate"/>
    <d v="2024-06-07T00:00:00"/>
    <x v="0"/>
    <n v="15"/>
    <s v="Quarterly"/>
    <s v="Yes"/>
    <n v="30"/>
    <s v="Yes"/>
    <n v="20"/>
    <n v="20"/>
    <n v="45"/>
  </r>
  <r>
    <n v="3334"/>
    <s v="Rafaela Silva"/>
    <s v="Standard"/>
    <d v="2024-06-08T00:00:00"/>
    <x v="1"/>
    <n v="10"/>
    <s v="Quarterly"/>
    <s v="No"/>
    <s v="-"/>
    <s v="Yes"/>
    <n v="20"/>
    <n v="12"/>
    <n v="18"/>
  </r>
  <r>
    <n v="3335"/>
    <s v="Samantha Moraes"/>
    <s v="Core"/>
    <d v="2024-06-09T00:00:00"/>
    <x v="0"/>
    <n v="5"/>
    <s v="Monthly"/>
    <s v="No"/>
    <s v="-"/>
    <s v="No"/>
    <n v="0"/>
    <n v="2"/>
    <n v="3"/>
  </r>
  <r>
    <n v="3336"/>
    <s v="Tatiana Rocha"/>
    <s v="Core"/>
    <d v="2024-06-10T00:00:00"/>
    <x v="0"/>
    <n v="5"/>
    <s v="Monthly"/>
    <s v="No"/>
    <s v="-"/>
    <s v="No"/>
    <n v="0"/>
    <n v="0"/>
    <n v="5"/>
  </r>
  <r>
    <n v="3337"/>
    <s v="Ulisses Tavares"/>
    <s v="Ultimate"/>
    <d v="2024-06-11T00:00:00"/>
    <x v="1"/>
    <n v="15"/>
    <s v="Quarterly"/>
    <s v="Yes"/>
    <n v="30"/>
    <s v="Yes"/>
    <n v="20"/>
    <n v="7"/>
    <n v="58"/>
  </r>
  <r>
    <n v="3338"/>
    <s v="Víctor Lemos"/>
    <s v="Standard"/>
    <d v="2024-06-12T00:00:00"/>
    <x v="0"/>
    <n v="10"/>
    <s v="Annual"/>
    <s v="No"/>
    <s v="-"/>
    <s v="Yes"/>
    <n v="20"/>
    <n v="10"/>
    <n v="20"/>
  </r>
  <r>
    <n v="3339"/>
    <s v="Wilma Barros"/>
    <s v="Core"/>
    <d v="2024-06-13T00:00:00"/>
    <x v="1"/>
    <n v="5"/>
    <s v="Quarterly"/>
    <s v="No"/>
    <s v="-"/>
    <s v="No"/>
    <n v="0"/>
    <n v="1"/>
    <n v="4"/>
  </r>
  <r>
    <n v="3340"/>
    <s v="Xavier Nascimento"/>
    <s v="Ultimate"/>
    <d v="2024-06-14T00:00:00"/>
    <x v="0"/>
    <n v="15"/>
    <s v="Monthly"/>
    <s v="Yes"/>
    <n v="30"/>
    <s v="Yes"/>
    <n v="20"/>
    <n v="15"/>
    <n v="50"/>
  </r>
  <r>
    <n v="3341"/>
    <s v="Yago Pereira"/>
    <s v="Standard"/>
    <d v="2024-06-15T00:00:00"/>
    <x v="1"/>
    <n v="10"/>
    <s v="Monthly"/>
    <s v="No"/>
    <s v="-"/>
    <s v="Yes"/>
    <n v="20"/>
    <n v="5"/>
    <n v="25"/>
  </r>
  <r>
    <n v="3342"/>
    <s v="Zilda Ferreira"/>
    <s v="Core"/>
    <d v="2024-06-16T00:00:00"/>
    <x v="0"/>
    <n v="5"/>
    <s v="Annual"/>
    <s v="No"/>
    <s v="-"/>
    <s v="No"/>
    <n v="0"/>
    <n v="0"/>
    <n v="5"/>
  </r>
  <r>
    <n v="3343"/>
    <s v="Amanda Lopes"/>
    <s v="Ultimate"/>
    <d v="2024-06-17T00:00:00"/>
    <x v="1"/>
    <n v="15"/>
    <s v="Quarterly"/>
    <s v="Yes"/>
    <n v="30"/>
    <s v="Yes"/>
    <n v="20"/>
    <n v="20"/>
    <n v="45"/>
  </r>
  <r>
    <n v="3344"/>
    <s v="Bruno Miranda"/>
    <s v="Standard"/>
    <d v="2024-06-18T00:00:00"/>
    <x v="0"/>
    <n v="10"/>
    <s v="Quarterly"/>
    <s v="No"/>
    <s v="-"/>
    <s v="Yes"/>
    <n v="20"/>
    <n v="12"/>
    <n v="18"/>
  </r>
  <r>
    <n v="3345"/>
    <s v="Célia Torres"/>
    <s v="Core"/>
    <d v="2024-06-19T00:00:00"/>
    <x v="1"/>
    <n v="5"/>
    <s v="Monthly"/>
    <s v="No"/>
    <s v="-"/>
    <s v="No"/>
    <n v="0"/>
    <n v="2"/>
    <n v="3"/>
  </r>
  <r>
    <n v="3346"/>
    <s v="Diogo Souza"/>
    <s v="Ultimate"/>
    <d v="2024-06-20T00:00:00"/>
    <x v="0"/>
    <n v="15"/>
    <s v="Annual"/>
    <s v="Yes"/>
    <n v="30"/>
    <s v="Yes"/>
    <n v="20"/>
    <n v="5"/>
    <n v="60"/>
  </r>
  <r>
    <n v="3347"/>
    <s v="Elisa Castro"/>
    <s v="Standard"/>
    <d v="2024-06-21T00:00:00"/>
    <x v="1"/>
    <n v="10"/>
    <s v="Monthly"/>
    <s v="No"/>
    <s v="-"/>
    <s v="Yes"/>
    <n v="20"/>
    <n v="10"/>
    <n v="20"/>
  </r>
  <r>
    <n v="3348"/>
    <s v="Fátima Lima"/>
    <s v="Core"/>
    <d v="2024-06-22T00:00:00"/>
    <x v="0"/>
    <n v="5"/>
    <s v="Quarterly"/>
    <s v="No"/>
    <s v="-"/>
    <s v="No"/>
    <n v="0"/>
    <n v="0"/>
    <n v="5"/>
  </r>
  <r>
    <n v="3349"/>
    <s v="Geraldo Ribeiro"/>
    <s v="Ultimate"/>
    <d v="2024-06-23T00:00:00"/>
    <x v="1"/>
    <n v="15"/>
    <s v="Monthly"/>
    <s v="Yes"/>
    <n v="30"/>
    <s v="Yes"/>
    <n v="20"/>
    <n v="3"/>
    <n v="62"/>
  </r>
  <r>
    <n v="3350"/>
    <s v="Hélio Martins"/>
    <s v="Standard"/>
    <d v="2024-06-24T00:00:00"/>
    <x v="0"/>
    <n v="10"/>
    <s v="Annual"/>
    <s v="No"/>
    <s v="-"/>
    <s v="Yes"/>
    <n v="20"/>
    <n v="15"/>
    <n v="15"/>
  </r>
  <r>
    <n v="3351"/>
    <s v="Íris Santos"/>
    <s v="Core"/>
    <d v="2024-06-25T00:00:00"/>
    <x v="1"/>
    <n v="5"/>
    <s v="Monthly"/>
    <s v="No"/>
    <s v="-"/>
    <s v="No"/>
    <n v="0"/>
    <n v="1"/>
    <n v="4"/>
  </r>
  <r>
    <n v="3352"/>
    <s v="João Marcelo"/>
    <s v="Ultimate"/>
    <d v="2024-06-26T00:00:00"/>
    <x v="0"/>
    <n v="15"/>
    <s v="Quarterly"/>
    <s v="Yes"/>
    <n v="30"/>
    <s v="Yes"/>
    <n v="20"/>
    <n v="7"/>
    <n v="58"/>
  </r>
  <r>
    <n v="3353"/>
    <s v="Larissa Gomes"/>
    <s v="Standard"/>
    <d v="2024-06-27T00:00:00"/>
    <x v="1"/>
    <n v="10"/>
    <s v="Monthly"/>
    <s v="No"/>
    <s v="-"/>
    <s v="Yes"/>
    <n v="20"/>
    <n v="10"/>
    <n v="20"/>
  </r>
  <r>
    <n v="3354"/>
    <s v="Márcio Silva"/>
    <s v="Core"/>
    <d v="2024-06-28T00:00:00"/>
    <x v="0"/>
    <n v="5"/>
    <s v="Annual"/>
    <s v="No"/>
    <s v="-"/>
    <s v="No"/>
    <n v="0"/>
    <n v="0"/>
    <n v="5"/>
  </r>
  <r>
    <n v="3355"/>
    <s v="Nadia Costa"/>
    <s v="Ultimate"/>
    <d v="2024-06-29T00:00:00"/>
    <x v="1"/>
    <n v="15"/>
    <s v="Monthly"/>
    <s v="Yes"/>
    <n v="30"/>
    <s v="Yes"/>
    <n v="20"/>
    <n v="20"/>
    <n v="45"/>
  </r>
  <r>
    <n v="3356"/>
    <s v="Oscar Almeida"/>
    <s v="Standard"/>
    <d v="2024-06-30T00:00:00"/>
    <x v="0"/>
    <n v="10"/>
    <s v="Quarterly"/>
    <s v="No"/>
    <s v="-"/>
    <s v="Yes"/>
    <n v="20"/>
    <n v="15"/>
    <n v="15"/>
  </r>
  <r>
    <n v="3357"/>
    <s v="Patricia Soares"/>
    <s v="Core"/>
    <d v="2024-07-01T00:00:00"/>
    <x v="1"/>
    <n v="5"/>
    <s v="Monthly"/>
    <s v="No"/>
    <s v="-"/>
    <s v="No"/>
    <n v="0"/>
    <n v="1"/>
    <n v="4"/>
  </r>
  <r>
    <n v="3358"/>
    <s v="Quênia Barros"/>
    <s v="Ultimate"/>
    <d v="2024-07-02T00:00:00"/>
    <x v="0"/>
    <n v="15"/>
    <s v="Annual"/>
    <s v="Yes"/>
    <n v="30"/>
    <s v="Yes"/>
    <n v="20"/>
    <n v="3"/>
    <n v="62"/>
  </r>
  <r>
    <n v="3359"/>
    <s v="Rafael Torres"/>
    <s v="Standard"/>
    <d v="2024-07-03T00:00:00"/>
    <x v="1"/>
    <n v="10"/>
    <s v="Monthly"/>
    <s v="No"/>
    <s v="-"/>
    <s v="Yes"/>
    <n v="20"/>
    <n v="10"/>
    <n v="20"/>
  </r>
  <r>
    <n v="3360"/>
    <s v="Silvia Nascimento"/>
    <s v="Core"/>
    <d v="2024-07-04T00:00:00"/>
    <x v="0"/>
    <n v="5"/>
    <s v="Quarterly"/>
    <s v="No"/>
    <s v="-"/>
    <s v="No"/>
    <n v="0"/>
    <n v="0"/>
    <n v="5"/>
  </r>
  <r>
    <n v="3361"/>
    <s v="Tiago Mendes"/>
    <s v="Ultimate"/>
    <d v="2024-07-05T00:00:00"/>
    <x v="1"/>
    <n v="15"/>
    <s v="Monthly"/>
    <s v="Yes"/>
    <n v="30"/>
    <s v="Yes"/>
    <n v="20"/>
    <n v="15"/>
    <n v="50"/>
  </r>
  <r>
    <n v="3362"/>
    <s v="Ursula Silva"/>
    <s v="Standard"/>
    <d v="2024-07-06T00:00:00"/>
    <x v="0"/>
    <n v="10"/>
    <s v="Annual"/>
    <s v="No"/>
    <s v="-"/>
    <s v="Yes"/>
    <n v="20"/>
    <n v="15"/>
    <n v="15"/>
  </r>
  <r>
    <n v="3363"/>
    <s v="Vanessa Moraes"/>
    <s v="Core"/>
    <d v="2024-07-07T00:00:00"/>
    <x v="1"/>
    <n v="5"/>
    <s v="Monthly"/>
    <s v="No"/>
    <s v="-"/>
    <s v="No"/>
    <n v="0"/>
    <n v="1"/>
    <n v="4"/>
  </r>
  <r>
    <n v="3364"/>
    <s v="Waldir Junior"/>
    <s v="Ultimate"/>
    <d v="2024-07-08T00:00:00"/>
    <x v="0"/>
    <n v="15"/>
    <s v="Quarterly"/>
    <s v="Yes"/>
    <n v="30"/>
    <s v="Yes"/>
    <n v="20"/>
    <n v="7"/>
    <n v="58"/>
  </r>
  <r>
    <n v="3365"/>
    <s v="Xavier Lopes"/>
    <s v="Standard"/>
    <d v="2024-07-09T00:00:00"/>
    <x v="1"/>
    <n v="10"/>
    <s v="Monthly"/>
    <s v="No"/>
    <s v="-"/>
    <s v="Yes"/>
    <n v="20"/>
    <n v="10"/>
    <n v="20"/>
  </r>
  <r>
    <n v="3366"/>
    <s v="Yolanda Freitas"/>
    <s v="Core"/>
    <d v="2024-07-10T00:00:00"/>
    <x v="0"/>
    <n v="5"/>
    <s v="Monthly"/>
    <s v="No"/>
    <s v="-"/>
    <s v="No"/>
    <n v="0"/>
    <n v="0"/>
    <n v="5"/>
  </r>
  <r>
    <n v="3367"/>
    <s v="Zacarias Nunes"/>
    <s v="Ultimate"/>
    <d v="2024-07-11T00:00:00"/>
    <x v="1"/>
    <n v="15"/>
    <s v="Quarterly"/>
    <s v="Yes"/>
    <n v="30"/>
    <s v="Yes"/>
    <n v="20"/>
    <n v="7"/>
    <n v="58"/>
  </r>
  <r>
    <n v="3368"/>
    <s v="Ana Clara Barreto"/>
    <s v="Standard"/>
    <d v="2024-07-12T00:00:00"/>
    <x v="0"/>
    <n v="10"/>
    <s v="Annual"/>
    <s v="No"/>
    <s v="-"/>
    <s v="Yes"/>
    <n v="20"/>
    <n v="10"/>
    <n v="20"/>
  </r>
  <r>
    <n v="3369"/>
    <s v="Bruno Henrique"/>
    <s v="Core"/>
    <d v="2024-07-13T00:00:00"/>
    <x v="1"/>
    <n v="5"/>
    <s v="Quarterly"/>
    <s v="No"/>
    <s v="-"/>
    <s v="No"/>
    <n v="0"/>
    <n v="1"/>
    <n v="4"/>
  </r>
  <r>
    <n v="3370"/>
    <s v="Carlos Eduardo"/>
    <s v="Ultimate"/>
    <d v="2024-07-14T00:00:00"/>
    <x v="0"/>
    <n v="15"/>
    <s v="Monthly"/>
    <s v="Yes"/>
    <n v="30"/>
    <s v="Yes"/>
    <n v="20"/>
    <n v="15"/>
    <n v="50"/>
  </r>
  <r>
    <n v="3371"/>
    <s v="Débora Lima"/>
    <s v="Standard"/>
    <d v="2024-07-15T00:00:00"/>
    <x v="1"/>
    <n v="10"/>
    <s v="Monthly"/>
    <s v="No"/>
    <s v="-"/>
    <s v="Yes"/>
    <n v="20"/>
    <n v="5"/>
    <n v="25"/>
  </r>
  <r>
    <n v="3372"/>
    <s v="Elisa Neves"/>
    <s v="Core"/>
    <d v="2024-07-16T00:00:00"/>
    <x v="0"/>
    <n v="5"/>
    <s v="Annual"/>
    <s v="No"/>
    <s v="-"/>
    <s v="No"/>
    <n v="0"/>
    <n v="0"/>
    <n v="5"/>
  </r>
  <r>
    <n v="3373"/>
    <s v="Fabiano Gomes"/>
    <s v="Ultimate"/>
    <d v="2024-07-17T00:00:00"/>
    <x v="1"/>
    <n v="15"/>
    <s v="Quarterly"/>
    <s v="Yes"/>
    <n v="30"/>
    <s v="Yes"/>
    <n v="20"/>
    <n v="20"/>
    <n v="45"/>
  </r>
  <r>
    <n v="3374"/>
    <s v="Gisele Oliveira"/>
    <s v="Standard"/>
    <d v="2024-07-18T00:00:00"/>
    <x v="0"/>
    <n v="10"/>
    <s v="Quarterly"/>
    <s v="No"/>
    <s v="-"/>
    <s v="Yes"/>
    <n v="20"/>
    <n v="12"/>
    <n v="18"/>
  </r>
  <r>
    <n v="3375"/>
    <s v="Héctor Silva"/>
    <s v="Core"/>
    <d v="2024-07-19T00:00:00"/>
    <x v="1"/>
    <n v="5"/>
    <s v="Monthly"/>
    <s v="No"/>
    <s v="-"/>
    <s v="No"/>
    <n v="0"/>
    <n v="2"/>
    <n v="3"/>
  </r>
  <r>
    <n v="3376"/>
    <s v="Igor Martins"/>
    <s v="Ultimate"/>
    <d v="2024-07-20T00:00:00"/>
    <x v="0"/>
    <n v="15"/>
    <s v="Annual"/>
    <s v="Yes"/>
    <n v="30"/>
    <s v="Yes"/>
    <n v="20"/>
    <n v="5"/>
    <n v="60"/>
  </r>
  <r>
    <n v="3377"/>
    <s v="Joana Figueiredo"/>
    <s v="Standard"/>
    <d v="2024-07-21T00:00:00"/>
    <x v="1"/>
    <n v="10"/>
    <s v="Monthly"/>
    <s v="No"/>
    <s v="-"/>
    <s v="Yes"/>
    <n v="20"/>
    <n v="10"/>
    <n v="20"/>
  </r>
  <r>
    <n v="3378"/>
    <s v="Kleber Machado"/>
    <s v="Core"/>
    <d v="2024-07-22T00:00:00"/>
    <x v="0"/>
    <n v="5"/>
    <s v="Quarterly"/>
    <s v="No"/>
    <s v="-"/>
    <s v="No"/>
    <n v="0"/>
    <n v="0"/>
    <n v="5"/>
  </r>
  <r>
    <n v="3379"/>
    <s v="Luciana Santos"/>
    <s v="Ultimate"/>
    <d v="2024-07-23T00:00:00"/>
    <x v="1"/>
    <n v="15"/>
    <s v="Monthly"/>
    <s v="Yes"/>
    <n v="30"/>
    <s v="Yes"/>
    <n v="20"/>
    <n v="3"/>
    <n v="62"/>
  </r>
  <r>
    <n v="3380"/>
    <s v="Marcos Teixeira"/>
    <s v="Standard"/>
    <d v="2024-07-24T00:00:00"/>
    <x v="0"/>
    <n v="10"/>
    <s v="Annual"/>
    <s v="No"/>
    <s v="-"/>
    <s v="Yes"/>
    <n v="20"/>
    <n v="15"/>
    <n v="15"/>
  </r>
  <r>
    <n v="3381"/>
    <s v="Natalia Costa"/>
    <s v="Core"/>
    <d v="2024-07-25T00:00:00"/>
    <x v="1"/>
    <n v="5"/>
    <s v="Monthly"/>
    <s v="No"/>
    <s v="-"/>
    <s v="No"/>
    <n v="0"/>
    <n v="1"/>
    <n v="4"/>
  </r>
  <r>
    <n v="3382"/>
    <s v="Oscar Ribeiro"/>
    <s v="Ultimate"/>
    <d v="2024-07-26T00:00:00"/>
    <x v="0"/>
    <n v="15"/>
    <s v="Quarterly"/>
    <s v="Yes"/>
    <n v="30"/>
    <s v="Yes"/>
    <n v="20"/>
    <n v="7"/>
    <n v="58"/>
  </r>
  <r>
    <n v="3383"/>
    <s v="Patricia Almeida"/>
    <s v="Standard"/>
    <d v="2024-07-27T00:00:00"/>
    <x v="1"/>
    <n v="10"/>
    <s v="Monthly"/>
    <s v="No"/>
    <s v="-"/>
    <s v="Yes"/>
    <n v="20"/>
    <n v="10"/>
    <n v="20"/>
  </r>
  <r>
    <n v="3384"/>
    <s v="Quirino Junior"/>
    <s v="Core"/>
    <d v="2024-07-28T00:00:00"/>
    <x v="0"/>
    <n v="5"/>
    <s v="Annual"/>
    <s v="No"/>
    <s v="-"/>
    <s v="No"/>
    <n v="0"/>
    <n v="0"/>
    <n v="5"/>
  </r>
  <r>
    <n v="3385"/>
    <s v="Renata Machado"/>
    <s v="Ultimate"/>
    <d v="2024-07-29T00:00:00"/>
    <x v="1"/>
    <n v="15"/>
    <s v="Monthly"/>
    <s v="Yes"/>
    <n v="30"/>
    <s v="Yes"/>
    <n v="20"/>
    <n v="20"/>
    <n v="45"/>
  </r>
  <r>
    <n v="3386"/>
    <s v="Sônia Alves"/>
    <s v="Standard"/>
    <d v="2024-07-30T00:00:00"/>
    <x v="0"/>
    <n v="10"/>
    <s v="Quarterly"/>
    <s v="No"/>
    <s v="-"/>
    <s v="Yes"/>
    <n v="20"/>
    <n v="15"/>
    <n v="15"/>
  </r>
  <r>
    <n v="3387"/>
    <s v="Tiago Nunes"/>
    <s v="Core"/>
    <d v="2024-07-31T00:00:00"/>
    <x v="1"/>
    <n v="5"/>
    <s v="Monthly"/>
    <s v="No"/>
    <s v="-"/>
    <s v="No"/>
    <n v="0"/>
    <n v="1"/>
    <n v="4"/>
  </r>
  <r>
    <n v="3388"/>
    <s v="Ulysses Pereira"/>
    <s v="Ultimate"/>
    <d v="2024-08-01T00:00:00"/>
    <x v="0"/>
    <n v="15"/>
    <s v="Annual"/>
    <s v="Yes"/>
    <n v="30"/>
    <s v="Yes"/>
    <n v="20"/>
    <n v="3"/>
    <n v="62"/>
  </r>
  <r>
    <n v="3389"/>
    <s v="Vanessa Lima"/>
    <s v="Standard"/>
    <d v="2024-08-02T00:00:00"/>
    <x v="1"/>
    <n v="10"/>
    <s v="Monthly"/>
    <s v="No"/>
    <s v="-"/>
    <s v="Yes"/>
    <n v="20"/>
    <n v="10"/>
    <n v="20"/>
  </r>
  <r>
    <n v="3390"/>
    <s v="Wagner Santos"/>
    <s v="Core"/>
    <d v="2024-08-03T00:00:00"/>
    <x v="0"/>
    <n v="5"/>
    <s v="Quarterly"/>
    <s v="No"/>
    <s v="-"/>
    <s v="No"/>
    <n v="0"/>
    <n v="0"/>
    <n v="5"/>
  </r>
  <r>
    <n v="3391"/>
    <s v="Xuxa Meneghel"/>
    <s v="Ultimate"/>
    <d v="2024-08-04T00:00:00"/>
    <x v="1"/>
    <n v="15"/>
    <s v="Monthly"/>
    <s v="Yes"/>
    <n v="30"/>
    <s v="Yes"/>
    <n v="20"/>
    <n v="15"/>
    <n v="50"/>
  </r>
  <r>
    <n v="3392"/>
    <s v="Yasmin Silva"/>
    <s v="Standard"/>
    <d v="2024-08-05T00:00:00"/>
    <x v="0"/>
    <n v="10"/>
    <s v="Annual"/>
    <s v="No"/>
    <s v="-"/>
    <s v="Yes"/>
    <n v="20"/>
    <n v="15"/>
    <n v="15"/>
  </r>
  <r>
    <n v="3393"/>
    <s v="Zacarias de Souza"/>
    <s v="Core"/>
    <d v="2024-08-06T00:00:00"/>
    <x v="1"/>
    <n v="5"/>
    <s v="Monthly"/>
    <s v="No"/>
    <s v="-"/>
    <s v="No"/>
    <n v="0"/>
    <n v="1"/>
    <n v="4"/>
  </r>
  <r>
    <n v="3394"/>
    <s v="André Lima"/>
    <s v="Ultimate"/>
    <d v="2024-08-07T00:00:00"/>
    <x v="0"/>
    <n v="15"/>
    <s v="Quarterly"/>
    <s v="Yes"/>
    <n v="30"/>
    <s v="Yes"/>
    <n v="20"/>
    <n v="7"/>
    <n v="58"/>
  </r>
  <r>
    <n v="3395"/>
    <s v="Bianca Freitas"/>
    <s v="Standard"/>
    <d v="2024-08-08T00:00:00"/>
    <x v="1"/>
    <n v="10"/>
    <s v="Monthly"/>
    <s v="No"/>
    <s v="-"/>
    <s v="Yes"/>
    <n v="20"/>
    <n v="10"/>
    <n v="20"/>
  </r>
  <r>
    <n v="3396"/>
    <s v="Caio Mendes"/>
    <s v="Core"/>
    <d v="2024-08-09T00:00:00"/>
    <x v="0"/>
    <n v="5"/>
    <s v="Annual"/>
    <s v="No"/>
    <s v="-"/>
    <s v="No"/>
    <n v="0"/>
    <n v="0"/>
    <n v="5"/>
  </r>
  <r>
    <n v="3397"/>
    <s v="Daniela Moura"/>
    <s v="Ultimate"/>
    <d v="2024-08-10T00:00:00"/>
    <x v="1"/>
    <n v="15"/>
    <s v="Monthly"/>
    <s v="Yes"/>
    <n v="30"/>
    <s v="Yes"/>
    <n v="20"/>
    <n v="20"/>
    <n v="45"/>
  </r>
  <r>
    <n v="3398"/>
    <s v="Eduardo Costa"/>
    <s v="Standard"/>
    <d v="2024-08-11T00:00:00"/>
    <x v="0"/>
    <n v="10"/>
    <s v="Quarterly"/>
    <s v="No"/>
    <s v="-"/>
    <s v="Yes"/>
    <n v="20"/>
    <n v="15"/>
    <n v="15"/>
  </r>
  <r>
    <n v="3399"/>
    <s v="Fernanda Gomes"/>
    <s v="Core"/>
    <d v="2024-08-12T00:00:00"/>
    <x v="1"/>
    <n v="5"/>
    <s v="Monthly"/>
    <s v="No"/>
    <s v="-"/>
    <s v="No"/>
    <n v="0"/>
    <n v="1"/>
    <n v="4"/>
  </r>
  <r>
    <n v="3400"/>
    <s v="Guilherme Souza"/>
    <s v="Ultimate"/>
    <d v="2024-08-13T00:00:00"/>
    <x v="0"/>
    <n v="15"/>
    <s v="Annual"/>
    <s v="Yes"/>
    <n v="30"/>
    <s v="Yes"/>
    <n v="20"/>
    <n v="5"/>
    <n v="60"/>
  </r>
  <r>
    <n v="3401"/>
    <s v="Helena Ribeiro"/>
    <s v="Standard"/>
    <d v="2024-08-14T00:00:00"/>
    <x v="1"/>
    <n v="10"/>
    <s v="Monthly"/>
    <s v="No"/>
    <s v="-"/>
    <s v="Yes"/>
    <n v="20"/>
    <n v="10"/>
    <n v="20"/>
  </r>
  <r>
    <n v="3402"/>
    <s v="Igor Santos"/>
    <s v="Core"/>
    <d v="2024-08-15T00:00:00"/>
    <x v="0"/>
    <n v="5"/>
    <s v="Quarterly"/>
    <s v="No"/>
    <s v="-"/>
    <s v="No"/>
    <n v="0"/>
    <n v="0"/>
    <n v="5"/>
  </r>
  <r>
    <n v="3403"/>
    <s v="João Carvalho"/>
    <s v="Ultimate"/>
    <d v="2024-08-16T00:00:00"/>
    <x v="1"/>
    <n v="15"/>
    <s v="Monthly"/>
    <s v="Yes"/>
    <n v="30"/>
    <s v="Yes"/>
    <n v="20"/>
    <n v="3"/>
    <n v="62"/>
  </r>
  <r>
    <n v="3404"/>
    <s v="Klara Fagundes"/>
    <s v="Standard"/>
    <d v="2024-08-17T00:00:00"/>
    <x v="0"/>
    <n v="10"/>
    <s v="Annual"/>
    <s v="No"/>
    <s v="-"/>
    <s v="Yes"/>
    <n v="20"/>
    <n v="15"/>
    <n v="15"/>
  </r>
  <r>
    <n v="3405"/>
    <s v="Lúcia Mendonça"/>
    <s v="Core"/>
    <d v="2024-08-18T00:00:00"/>
    <x v="1"/>
    <n v="5"/>
    <s v="Monthly"/>
    <s v="No"/>
    <s v="-"/>
    <s v="No"/>
    <n v="0"/>
    <n v="1"/>
    <n v="4"/>
  </r>
  <r>
    <n v="3406"/>
    <s v="Marcelo Novaes"/>
    <s v="Core"/>
    <d v="2024-08-19T00:00:00"/>
    <x v="0"/>
    <n v="5"/>
    <s v="Monthly"/>
    <s v="No"/>
    <s v="-"/>
    <s v="No"/>
    <n v="0"/>
    <n v="0"/>
    <n v="5"/>
  </r>
  <r>
    <n v="3407"/>
    <s v="Nina Pacheco"/>
    <s v="Ultimate"/>
    <d v="2024-08-20T00:00:00"/>
    <x v="1"/>
    <n v="15"/>
    <s v="Quarterly"/>
    <s v="Yes"/>
    <n v="30"/>
    <s v="Yes"/>
    <n v="20"/>
    <n v="7"/>
    <n v="58"/>
  </r>
  <r>
    <n v="3408"/>
    <s v="Olívia Rios"/>
    <s v="Standard"/>
    <d v="2024-08-21T00:00:00"/>
    <x v="0"/>
    <n v="10"/>
    <s v="Annual"/>
    <s v="No"/>
    <s v="-"/>
    <s v="Yes"/>
    <n v="20"/>
    <n v="10"/>
    <n v="20"/>
  </r>
  <r>
    <n v="3409"/>
    <s v="Paulo Quintana"/>
    <s v="Core"/>
    <d v="2024-08-22T00:00:00"/>
    <x v="1"/>
    <n v="5"/>
    <s v="Quarterly"/>
    <s v="No"/>
    <s v="-"/>
    <s v="No"/>
    <n v="0"/>
    <n v="1"/>
    <n v="4"/>
  </r>
  <r>
    <n v="3410"/>
    <s v="Raquel Domingos"/>
    <s v="Ultimate"/>
    <d v="2024-08-23T00:00:00"/>
    <x v="0"/>
    <n v="15"/>
    <s v="Monthly"/>
    <s v="Yes"/>
    <n v="30"/>
    <s v="Yes"/>
    <n v="20"/>
    <n v="15"/>
    <n v="50"/>
  </r>
  <r>
    <n v="3411"/>
    <s v="Samuel Viana"/>
    <s v="Standard"/>
    <d v="2024-08-24T00:00:00"/>
    <x v="1"/>
    <n v="10"/>
    <s v="Monthly"/>
    <s v="No"/>
    <s v="-"/>
    <s v="Yes"/>
    <n v="20"/>
    <n v="5"/>
    <n v="25"/>
  </r>
  <r>
    <n v="3412"/>
    <s v="Tatiane Rocha"/>
    <s v="Core"/>
    <d v="2024-08-25T00:00:00"/>
    <x v="0"/>
    <n v="5"/>
    <s v="Annual"/>
    <s v="No"/>
    <s v="-"/>
    <s v="No"/>
    <n v="0"/>
    <n v="0"/>
    <n v="5"/>
  </r>
  <r>
    <n v="3413"/>
    <s v="Ulysses Farias"/>
    <s v="Ultimate"/>
    <d v="2024-08-26T00:00:00"/>
    <x v="1"/>
    <n v="15"/>
    <s v="Quarterly"/>
    <s v="Yes"/>
    <n v="30"/>
    <s v="Yes"/>
    <n v="20"/>
    <n v="20"/>
    <n v="45"/>
  </r>
  <r>
    <n v="3414"/>
    <s v="Vanessa Moreira"/>
    <s v="Standard"/>
    <d v="2024-08-27T00:00:00"/>
    <x v="0"/>
    <n v="10"/>
    <s v="Quarterly"/>
    <s v="No"/>
    <s v="-"/>
    <s v="Yes"/>
    <n v="20"/>
    <n v="12"/>
    <n v="18"/>
  </r>
  <r>
    <n v="3415"/>
    <s v="William Carvalho"/>
    <s v="Core"/>
    <d v="2024-08-28T00:00:00"/>
    <x v="1"/>
    <n v="5"/>
    <s v="Monthly"/>
    <s v="No"/>
    <s v="-"/>
    <s v="No"/>
    <n v="0"/>
    <n v="2"/>
    <n v="3"/>
  </r>
  <r>
    <n v="3416"/>
    <s v="Ximena Barros"/>
    <s v="Ultimate"/>
    <d v="2024-08-29T00:00:00"/>
    <x v="0"/>
    <n v="15"/>
    <s v="Annual"/>
    <s v="Yes"/>
    <n v="30"/>
    <s v="Yes"/>
    <n v="20"/>
    <n v="5"/>
    <n v="60"/>
  </r>
  <r>
    <n v="3417"/>
    <s v="Yara Machado"/>
    <s v="Standard"/>
    <d v="2024-08-30T00:00:00"/>
    <x v="1"/>
    <n v="10"/>
    <s v="Monthly"/>
    <s v="No"/>
    <s v="-"/>
    <s v="Yes"/>
    <n v="20"/>
    <n v="10"/>
    <n v="20"/>
  </r>
  <r>
    <n v="3418"/>
    <s v="Zacarias Costa"/>
    <s v="Core"/>
    <d v="2024-08-31T00:00:00"/>
    <x v="0"/>
    <n v="5"/>
    <s v="Quarterly"/>
    <s v="No"/>
    <s v="-"/>
    <s v="No"/>
    <n v="0"/>
    <n v="0"/>
    <n v="5"/>
  </r>
  <r>
    <n v="3419"/>
    <s v="André Lopes"/>
    <s v="Ultimate"/>
    <d v="2024-09-01T00:00:00"/>
    <x v="1"/>
    <n v="15"/>
    <s v="Monthly"/>
    <s v="Yes"/>
    <n v="30"/>
    <s v="Yes"/>
    <n v="20"/>
    <n v="3"/>
    <n v="62"/>
  </r>
  <r>
    <n v="3420"/>
    <s v="Beatriz Souza"/>
    <s v="Standard"/>
    <d v="2024-09-02T00:00:00"/>
    <x v="0"/>
    <n v="10"/>
    <s v="Annual"/>
    <s v="No"/>
    <s v="-"/>
    <s v="Yes"/>
    <n v="20"/>
    <n v="15"/>
    <n v="15"/>
  </r>
  <r>
    <n v="3421"/>
    <s v="Caio Pereira"/>
    <s v="Core"/>
    <d v="2024-09-03T00:00:00"/>
    <x v="1"/>
    <n v="5"/>
    <s v="Monthly"/>
    <s v="No"/>
    <s v="-"/>
    <s v="No"/>
    <n v="0"/>
    <n v="1"/>
    <n v="4"/>
  </r>
  <r>
    <n v="3422"/>
    <s v="Daniela Araújo"/>
    <s v="Ultimate"/>
    <d v="2024-09-04T00:00:00"/>
    <x v="0"/>
    <n v="15"/>
    <s v="Quarterly"/>
    <s v="Yes"/>
    <n v="30"/>
    <s v="Yes"/>
    <n v="20"/>
    <n v="7"/>
    <n v="58"/>
  </r>
  <r>
    <n v="3423"/>
    <s v="Eduardo Santos"/>
    <s v="Standard"/>
    <d v="2024-09-05T00:00:00"/>
    <x v="1"/>
    <n v="10"/>
    <s v="Monthly"/>
    <s v="No"/>
    <s v="-"/>
    <s v="Yes"/>
    <n v="20"/>
    <n v="10"/>
    <n v="20"/>
  </r>
  <r>
    <n v="3424"/>
    <s v="Fernanda Lima"/>
    <s v="Core"/>
    <d v="2024-09-06T00:00:00"/>
    <x v="0"/>
    <n v="5"/>
    <s v="Annual"/>
    <s v="No"/>
    <s v="-"/>
    <s v="No"/>
    <n v="0"/>
    <n v="0"/>
    <n v="5"/>
  </r>
  <r>
    <n v="3425"/>
    <s v="Gabriel Teixeira"/>
    <s v="Ultimate"/>
    <d v="2024-09-07T00:00:00"/>
    <x v="1"/>
    <n v="15"/>
    <s v="Monthly"/>
    <s v="Yes"/>
    <n v="30"/>
    <s v="Yes"/>
    <n v="20"/>
    <n v="20"/>
    <n v="45"/>
  </r>
  <r>
    <n v="3426"/>
    <s v="Helena Ribeiro"/>
    <s v="Standard"/>
    <d v="2024-09-08T00:00:00"/>
    <x v="0"/>
    <n v="10"/>
    <s v="Quarterly"/>
    <s v="No"/>
    <s v="-"/>
    <s v="Yes"/>
    <n v="20"/>
    <n v="15"/>
    <n v="15"/>
  </r>
  <r>
    <n v="3427"/>
    <s v="Igor Mendes"/>
    <s v="Core"/>
    <d v="2024-09-09T00:00:00"/>
    <x v="1"/>
    <n v="5"/>
    <s v="Monthly"/>
    <s v="No"/>
    <s v="-"/>
    <s v="No"/>
    <n v="0"/>
    <n v="1"/>
    <n v="4"/>
  </r>
  <r>
    <n v="3428"/>
    <s v="Joana Silveira"/>
    <s v="Ultimate"/>
    <d v="2024-09-10T00:00:00"/>
    <x v="0"/>
    <n v="15"/>
    <s v="Annual"/>
    <s v="Yes"/>
    <n v="30"/>
    <s v="Yes"/>
    <n v="20"/>
    <n v="3"/>
    <n v="62"/>
  </r>
  <r>
    <n v="3429"/>
    <s v="Lucas Martins"/>
    <s v="Standard"/>
    <d v="2024-09-11T00:00:00"/>
    <x v="1"/>
    <n v="10"/>
    <s v="Monthly"/>
    <s v="No"/>
    <s v="-"/>
    <s v="Yes"/>
    <n v="20"/>
    <n v="10"/>
    <n v="20"/>
  </r>
  <r>
    <n v="3430"/>
    <s v="Marcela Gouveia"/>
    <s v="Core"/>
    <d v="2024-09-12T00:00:00"/>
    <x v="0"/>
    <n v="5"/>
    <s v="Quarterly"/>
    <s v="No"/>
    <s v="-"/>
    <s v="No"/>
    <n v="0"/>
    <n v="0"/>
    <n v="5"/>
  </r>
  <r>
    <n v="3431"/>
    <s v="Nicolas Borges"/>
    <s v="Ultimate"/>
    <d v="2024-09-13T00:00:00"/>
    <x v="1"/>
    <n v="15"/>
    <s v="Monthly"/>
    <s v="Yes"/>
    <n v="30"/>
    <s v="Yes"/>
    <n v="20"/>
    <n v="15"/>
    <n v="50"/>
  </r>
  <r>
    <n v="3432"/>
    <s v="Olivia Freitas"/>
    <s v="Standard"/>
    <d v="2024-09-14T00:00:00"/>
    <x v="0"/>
    <n v="10"/>
    <s v="Annual"/>
    <s v="No"/>
    <s v="-"/>
    <s v="Yes"/>
    <n v="20"/>
    <n v="15"/>
    <n v="15"/>
  </r>
  <r>
    <n v="3433"/>
    <s v="Paulo Nogueira"/>
    <s v="Core"/>
    <d v="2024-09-15T00:00:00"/>
    <x v="1"/>
    <n v="5"/>
    <s v="Monthly"/>
    <s v="No"/>
    <s v="-"/>
    <s v="No"/>
    <n v="0"/>
    <n v="1"/>
    <n v="4"/>
  </r>
  <r>
    <n v="3434"/>
    <s v="Raquel Andrade"/>
    <s v="Ultimate"/>
    <d v="2024-09-16T00:00:00"/>
    <x v="0"/>
    <n v="15"/>
    <s v="Quarterly"/>
    <s v="Yes"/>
    <n v="30"/>
    <s v="Yes"/>
    <n v="20"/>
    <n v="7"/>
    <n v="58"/>
  </r>
  <r>
    <n v="3435"/>
    <s v="Sônia Carvalho"/>
    <s v="Standard"/>
    <d v="2024-09-17T00:00:00"/>
    <x v="1"/>
    <n v="10"/>
    <s v="Monthly"/>
    <s v="No"/>
    <s v="-"/>
    <s v="Yes"/>
    <n v="20"/>
    <n v="10"/>
    <n v="20"/>
  </r>
  <r>
    <n v="3436"/>
    <s v="Tiago Rodrigues"/>
    <s v="Core"/>
    <d v="2024-09-18T00:00:00"/>
    <x v="0"/>
    <n v="5"/>
    <s v="Monthly"/>
    <s v="No"/>
    <s v="-"/>
    <s v="No"/>
    <n v="0"/>
    <n v="0"/>
    <n v="5"/>
  </r>
  <r>
    <n v="3437"/>
    <s v="Ursula Monteiro"/>
    <s v="Ultimate"/>
    <d v="2024-09-19T00:00:00"/>
    <x v="1"/>
    <n v="15"/>
    <s v="Quarterly"/>
    <s v="Yes"/>
    <n v="30"/>
    <s v="Yes"/>
    <n v="20"/>
    <n v="7"/>
    <n v="58"/>
  </r>
  <r>
    <n v="3438"/>
    <s v="Vanessa Pereira"/>
    <s v="Standard"/>
    <d v="2024-09-20T00:00:00"/>
    <x v="0"/>
    <n v="10"/>
    <s v="Annual"/>
    <s v="No"/>
    <s v="-"/>
    <s v="Yes"/>
    <n v="20"/>
    <n v="10"/>
    <n v="20"/>
  </r>
  <r>
    <n v="3439"/>
    <s v="Walter Silva"/>
    <s v="Core"/>
    <d v="2024-09-21T00:00:00"/>
    <x v="1"/>
    <n v="5"/>
    <s v="Quarterly"/>
    <s v="No"/>
    <s v="-"/>
    <s v="No"/>
    <n v="0"/>
    <n v="1"/>
    <n v="4"/>
  </r>
  <r>
    <n v="3440"/>
    <s v="Xavier Almeida"/>
    <s v="Ultimate"/>
    <d v="2024-09-22T00:00:00"/>
    <x v="0"/>
    <n v="15"/>
    <s v="Monthly"/>
    <s v="Yes"/>
    <n v="30"/>
    <s v="Yes"/>
    <n v="20"/>
    <n v="15"/>
    <n v="50"/>
  </r>
  <r>
    <n v="3441"/>
    <s v="Yasmine Correia"/>
    <s v="Standard"/>
    <d v="2024-09-23T00:00:00"/>
    <x v="1"/>
    <n v="10"/>
    <s v="Monthly"/>
    <s v="No"/>
    <s v="-"/>
    <s v="Yes"/>
    <n v="20"/>
    <n v="5"/>
    <n v="25"/>
  </r>
  <r>
    <n v="3442"/>
    <s v="Zacarias Almeida"/>
    <s v="Core"/>
    <d v="2024-09-24T00:00:00"/>
    <x v="0"/>
    <n v="5"/>
    <s v="Annual"/>
    <s v="No"/>
    <s v="-"/>
    <s v="No"/>
    <n v="0"/>
    <n v="0"/>
    <n v="5"/>
  </r>
  <r>
    <n v="3443"/>
    <s v="Amanda Costa"/>
    <s v="Ultimate"/>
    <d v="2024-09-25T00:00:00"/>
    <x v="1"/>
    <n v="15"/>
    <s v="Quarterly"/>
    <s v="Yes"/>
    <n v="30"/>
    <s v="Yes"/>
    <n v="20"/>
    <n v="20"/>
    <n v="45"/>
  </r>
  <r>
    <n v="3444"/>
    <s v="Bruno Ferreira"/>
    <s v="Standard"/>
    <d v="2024-09-26T00:00:00"/>
    <x v="0"/>
    <n v="10"/>
    <s v="Quarterly"/>
    <s v="No"/>
    <s v="-"/>
    <s v="Yes"/>
    <n v="20"/>
    <n v="12"/>
    <n v="18"/>
  </r>
  <r>
    <n v="3445"/>
    <s v="Carla Dias"/>
    <s v="Core"/>
    <d v="2024-09-27T00:00:00"/>
    <x v="1"/>
    <n v="5"/>
    <s v="Monthly"/>
    <s v="No"/>
    <s v="-"/>
    <s v="No"/>
    <n v="0"/>
    <n v="2"/>
    <n v="3"/>
  </r>
  <r>
    <n v="3446"/>
    <s v="Diogo Martins"/>
    <s v="Ultimate"/>
    <d v="2024-09-28T00:00:00"/>
    <x v="0"/>
    <n v="15"/>
    <s v="Annual"/>
    <s v="Yes"/>
    <n v="30"/>
    <s v="Yes"/>
    <n v="20"/>
    <n v="5"/>
    <n v="60"/>
  </r>
  <r>
    <n v="3447"/>
    <s v="Elisa Campos"/>
    <s v="Standard"/>
    <d v="2024-09-29T00:00:00"/>
    <x v="1"/>
    <n v="10"/>
    <s v="Monthly"/>
    <s v="No"/>
    <s v="-"/>
    <s v="Yes"/>
    <n v="20"/>
    <n v="10"/>
    <n v="20"/>
  </r>
  <r>
    <n v="3448"/>
    <s v="Fabiana Lima"/>
    <s v="Core"/>
    <d v="2024-09-30T00:00:00"/>
    <x v="0"/>
    <n v="5"/>
    <s v="Quarterly"/>
    <s v="No"/>
    <s v="-"/>
    <s v="No"/>
    <n v="0"/>
    <n v="0"/>
    <n v="5"/>
  </r>
  <r>
    <n v="3449"/>
    <s v="Gabriel Santos"/>
    <s v="Ultimate"/>
    <d v="2024-10-01T00:00:00"/>
    <x v="1"/>
    <n v="15"/>
    <s v="Monthly"/>
    <s v="Yes"/>
    <n v="30"/>
    <s v="Yes"/>
    <n v="20"/>
    <n v="3"/>
    <n v="62"/>
  </r>
  <r>
    <n v="3450"/>
    <s v="Helena Ferreira"/>
    <s v="Standard"/>
    <d v="2024-10-02T00:00:00"/>
    <x v="0"/>
    <n v="10"/>
    <s v="Annual"/>
    <s v="No"/>
    <s v="-"/>
    <s v="Yes"/>
    <n v="20"/>
    <n v="15"/>
    <n v="15"/>
  </r>
  <r>
    <n v="3451"/>
    <s v="Ígor Nunes"/>
    <s v="Core"/>
    <d v="2024-10-03T00:00:00"/>
    <x v="1"/>
    <n v="5"/>
    <s v="Monthly"/>
    <s v="No"/>
    <s v="-"/>
    <s v="No"/>
    <n v="0"/>
    <n v="1"/>
    <n v="4"/>
  </r>
  <r>
    <n v="3452"/>
    <s v="Joana Silveira"/>
    <s v="Ultimate"/>
    <d v="2024-10-04T00:00:00"/>
    <x v="0"/>
    <n v="15"/>
    <s v="Quarterly"/>
    <s v="Yes"/>
    <n v="30"/>
    <s v="Yes"/>
    <n v="20"/>
    <n v="7"/>
    <n v="58"/>
  </r>
  <r>
    <n v="3453"/>
    <s v="Kléber Oliveira"/>
    <s v="Standard"/>
    <d v="2024-10-05T00:00:00"/>
    <x v="1"/>
    <n v="10"/>
    <s v="Monthly"/>
    <s v="No"/>
    <s v="-"/>
    <s v="Yes"/>
    <n v="20"/>
    <n v="10"/>
    <n v="20"/>
  </r>
  <r>
    <n v="3454"/>
    <s v="Luciana Morais"/>
    <s v="Core"/>
    <d v="2024-10-06T00:00:00"/>
    <x v="0"/>
    <n v="5"/>
    <s v="Annual"/>
    <s v="No"/>
    <s v="-"/>
    <s v="No"/>
    <n v="0"/>
    <n v="0"/>
    <n v="5"/>
  </r>
  <r>
    <n v="3455"/>
    <s v="Marcos Vinícius"/>
    <s v="Ultimate"/>
    <d v="2024-10-07T00:00:00"/>
    <x v="1"/>
    <n v="15"/>
    <s v="Monthly"/>
    <s v="Yes"/>
    <n v="30"/>
    <s v="Yes"/>
    <n v="20"/>
    <n v="20"/>
    <n v="45"/>
  </r>
  <r>
    <n v="3456"/>
    <s v="Natália Barros"/>
    <s v="Standard"/>
    <d v="2024-10-08T00:00:00"/>
    <x v="0"/>
    <n v="10"/>
    <s v="Quarterly"/>
    <s v="No"/>
    <s v="-"/>
    <s v="Yes"/>
    <n v="20"/>
    <n v="15"/>
    <n v="15"/>
  </r>
  <r>
    <n v="3457"/>
    <s v="Oscar Sampaio"/>
    <s v="Core"/>
    <d v="2024-10-09T00:00:00"/>
    <x v="1"/>
    <n v="5"/>
    <s v="Monthly"/>
    <s v="No"/>
    <s v="-"/>
    <s v="No"/>
    <n v="0"/>
    <n v="1"/>
    <n v="4"/>
  </r>
  <r>
    <n v="3458"/>
    <s v="Patrícia Leite"/>
    <s v="Ultimate"/>
    <d v="2024-10-10T00:00:00"/>
    <x v="0"/>
    <n v="15"/>
    <s v="Annual"/>
    <s v="Yes"/>
    <n v="30"/>
    <s v="Yes"/>
    <n v="20"/>
    <n v="3"/>
    <n v="62"/>
  </r>
  <r>
    <n v="3459"/>
    <s v="Quênia Rocha"/>
    <s v="Standard"/>
    <d v="2024-10-11T00:00:00"/>
    <x v="1"/>
    <n v="10"/>
    <s v="Monthly"/>
    <s v="No"/>
    <s v="-"/>
    <s v="Yes"/>
    <n v="20"/>
    <n v="10"/>
    <n v="20"/>
  </r>
  <r>
    <n v="3460"/>
    <s v="Rafael Torres"/>
    <s v="Core"/>
    <d v="2024-10-12T00:00:00"/>
    <x v="0"/>
    <n v="5"/>
    <s v="Quarterly"/>
    <s v="No"/>
    <s v="-"/>
    <s v="No"/>
    <n v="0"/>
    <n v="0"/>
    <n v="5"/>
  </r>
  <r>
    <n v="3461"/>
    <s v="Sandra Gouveia"/>
    <s v="Ultimate"/>
    <d v="2024-10-13T00:00:00"/>
    <x v="1"/>
    <n v="15"/>
    <s v="Monthly"/>
    <s v="Yes"/>
    <n v="30"/>
    <s v="Yes"/>
    <n v="20"/>
    <n v="15"/>
    <n v="50"/>
  </r>
  <r>
    <n v="3462"/>
    <s v="Tiago Lacerda"/>
    <s v="Standard"/>
    <d v="2024-10-14T00:00:00"/>
    <x v="0"/>
    <n v="10"/>
    <s v="Annual"/>
    <s v="No"/>
    <s v="-"/>
    <s v="Yes"/>
    <n v="20"/>
    <n v="15"/>
    <n v="15"/>
  </r>
  <r>
    <n v="3463"/>
    <s v="Ursula Fonseca"/>
    <s v="Core"/>
    <d v="2024-10-15T00:00:00"/>
    <x v="1"/>
    <n v="5"/>
    <s v="Monthly"/>
    <s v="No"/>
    <s v="-"/>
    <s v="No"/>
    <n v="0"/>
    <n v="1"/>
    <n v="4"/>
  </r>
  <r>
    <n v="3464"/>
    <s v="Vanessa Andrade"/>
    <s v="Ultimate"/>
    <d v="2024-10-16T00:00:00"/>
    <x v="0"/>
    <n v="15"/>
    <s v="Quarterly"/>
    <s v="Yes"/>
    <n v="30"/>
    <s v="Yes"/>
    <n v="20"/>
    <n v="7"/>
    <n v="58"/>
  </r>
  <r>
    <n v="3465"/>
    <s v="William Castro"/>
    <s v="Standard"/>
    <d v="2024-10-17T00:00:00"/>
    <x v="1"/>
    <n v="10"/>
    <s v="Monthly"/>
    <s v="No"/>
    <s v="-"/>
    <s v="Yes"/>
    <n v="20"/>
    <n v="10"/>
    <n v="20"/>
  </r>
  <r>
    <n v="3466"/>
    <s v="Xavier Monteiro"/>
    <s v="Core"/>
    <d v="2024-10-18T00:00:00"/>
    <x v="0"/>
    <n v="5"/>
    <s v="Annual"/>
    <s v="No"/>
    <s v="-"/>
    <s v="No"/>
    <n v="0"/>
    <n v="0"/>
    <n v="5"/>
  </r>
  <r>
    <n v="3467"/>
    <s v="Yasmin Figueira"/>
    <s v="Ultimate"/>
    <d v="2024-10-19T00:00:00"/>
    <x v="1"/>
    <n v="15"/>
    <s v="Monthly"/>
    <s v="Yes"/>
    <n v="30"/>
    <s v="Yes"/>
    <n v="20"/>
    <n v="15"/>
    <n v="50"/>
  </r>
  <r>
    <n v="3468"/>
    <s v="Zacarias Mendonça"/>
    <s v="Standard"/>
    <d v="2024-10-20T00:00:00"/>
    <x v="0"/>
    <n v="10"/>
    <s v="Quarterly"/>
    <s v="No"/>
    <s v="-"/>
    <s v="Yes"/>
    <n v="20"/>
    <n v="12"/>
    <n v="18"/>
  </r>
  <r>
    <n v="3469"/>
    <s v="Amanda Menezes"/>
    <s v="Core"/>
    <d v="2024-10-21T00:00:00"/>
    <x v="1"/>
    <n v="5"/>
    <s v="Monthly"/>
    <s v="No"/>
    <s v="-"/>
    <s v="No"/>
    <n v="0"/>
    <n v="2"/>
    <n v="3"/>
  </r>
  <r>
    <n v="3470"/>
    <s v="Bruno Santos"/>
    <s v="Ultimate"/>
    <d v="2024-10-22T00:00:00"/>
    <x v="0"/>
    <n v="15"/>
    <s v="Annual"/>
    <s v="Yes"/>
    <n v="30"/>
    <s v="Yes"/>
    <n v="20"/>
    <n v="5"/>
    <n v="60"/>
  </r>
  <r>
    <n v="3471"/>
    <s v="Carla Ferreira"/>
    <s v="Standard"/>
    <d v="2024-10-23T00:00:00"/>
    <x v="1"/>
    <n v="10"/>
    <s v="Monthly"/>
    <s v="No"/>
    <s v="-"/>
    <s v="Yes"/>
    <n v="20"/>
    <n v="10"/>
    <n v="20"/>
  </r>
  <r>
    <n v="3472"/>
    <s v="Diogo Alves"/>
    <s v="Core"/>
    <d v="2024-10-24T00:00:00"/>
    <x v="0"/>
    <n v="5"/>
    <s v="Quarterly"/>
    <s v="No"/>
    <s v="-"/>
    <s v="No"/>
    <n v="0"/>
    <n v="0"/>
    <n v="5"/>
  </r>
  <r>
    <n v="3473"/>
    <s v="Elisa Neves"/>
    <s v="Ultimate"/>
    <d v="2024-10-25T00:00:00"/>
    <x v="1"/>
    <n v="15"/>
    <s v="Monthly"/>
    <s v="Yes"/>
    <n v="30"/>
    <s v="Yes"/>
    <n v="20"/>
    <n v="3"/>
    <n v="62"/>
  </r>
  <r>
    <n v="3474"/>
    <s v="Fabiano Pires"/>
    <s v="Standard"/>
    <d v="2024-10-26T00:00:00"/>
    <x v="0"/>
    <n v="10"/>
    <s v="Annual"/>
    <s v="No"/>
    <s v="-"/>
    <s v="Yes"/>
    <n v="20"/>
    <n v="15"/>
    <n v="15"/>
  </r>
  <r>
    <n v="3475"/>
    <s v="Giovana Ribeiro"/>
    <s v="Core"/>
    <d v="2024-10-27T00:00:00"/>
    <x v="1"/>
    <n v="5"/>
    <s v="Monthly"/>
    <s v="No"/>
    <s v="-"/>
    <s v="No"/>
    <n v="0"/>
    <n v="1"/>
    <n v="4"/>
  </r>
  <r>
    <n v="3476"/>
    <s v="Hélio Costa"/>
    <s v="Ultimate"/>
    <d v="2024-10-28T00:00:00"/>
    <x v="0"/>
    <n v="15"/>
    <s v="Quarterly"/>
    <s v="Yes"/>
    <n v="30"/>
    <s v="Yes"/>
    <n v="20"/>
    <n v="7"/>
    <n v="58"/>
  </r>
  <r>
    <n v="3477"/>
    <s v="Íris Loureiro"/>
    <s v="Standard"/>
    <d v="2024-10-29T00:00:00"/>
    <x v="1"/>
    <n v="10"/>
    <s v="Monthly"/>
    <s v="No"/>
    <s v="-"/>
    <s v="Yes"/>
    <n v="20"/>
    <n v="10"/>
    <n v="20"/>
  </r>
  <r>
    <n v="3478"/>
    <s v="João Pereira"/>
    <s v="Core"/>
    <d v="2024-10-30T00:00:00"/>
    <x v="0"/>
    <n v="5"/>
    <s v="Annual"/>
    <s v="No"/>
    <s v="-"/>
    <s v="No"/>
    <n v="0"/>
    <n v="0"/>
    <n v="5"/>
  </r>
  <r>
    <n v="3479"/>
    <s v="Klara Silva"/>
    <s v="Ultimate"/>
    <d v="2024-10-31T00:00:00"/>
    <x v="1"/>
    <n v="15"/>
    <s v="Monthly"/>
    <s v="Yes"/>
    <n v="30"/>
    <s v="Yes"/>
    <n v="20"/>
    <n v="20"/>
    <n v="45"/>
  </r>
  <r>
    <n v="3480"/>
    <s v="Luciana Barros"/>
    <s v="Standard"/>
    <d v="2024-11-01T00:00:00"/>
    <x v="0"/>
    <n v="10"/>
    <s v="Quarterly"/>
    <s v="No"/>
    <s v="-"/>
    <s v="Yes"/>
    <n v="20"/>
    <n v="15"/>
    <n v="15"/>
  </r>
  <r>
    <n v="3481"/>
    <s v="Marcos Gomes"/>
    <s v="Core"/>
    <d v="2024-11-02T00:00:00"/>
    <x v="1"/>
    <n v="5"/>
    <s v="Monthly"/>
    <s v="No"/>
    <s v="-"/>
    <s v="No"/>
    <n v="0"/>
    <n v="1"/>
    <n v="4"/>
  </r>
  <r>
    <n v="3482"/>
    <s v="Natália Soares"/>
    <s v="Ultimate"/>
    <d v="2024-11-03T00:00:00"/>
    <x v="0"/>
    <n v="15"/>
    <s v="Annual"/>
    <s v="Yes"/>
    <n v="30"/>
    <s v="Yes"/>
    <n v="20"/>
    <n v="3"/>
    <n v="62"/>
  </r>
  <r>
    <n v="3483"/>
    <s v="Oscar Machado"/>
    <s v="Standard"/>
    <d v="2024-11-04T00:00:00"/>
    <x v="1"/>
    <n v="10"/>
    <s v="Monthly"/>
    <s v="No"/>
    <s v="-"/>
    <s v="Yes"/>
    <n v="20"/>
    <n v="10"/>
    <n v="20"/>
  </r>
  <r>
    <n v="3484"/>
    <s v="Patrícia Lima"/>
    <s v="Core"/>
    <d v="2024-11-05T00:00:00"/>
    <x v="0"/>
    <n v="5"/>
    <s v="Quarterly"/>
    <s v="No"/>
    <s v="-"/>
    <s v="No"/>
    <n v="0"/>
    <n v="0"/>
    <n v="5"/>
  </r>
  <r>
    <n v="3485"/>
    <s v="Quirino Neto"/>
    <s v="Ultimate"/>
    <d v="2024-11-06T00:00:00"/>
    <x v="1"/>
    <n v="15"/>
    <s v="Monthly"/>
    <s v="Yes"/>
    <n v="30"/>
    <s v="Yes"/>
    <n v="20"/>
    <n v="15"/>
    <n v="50"/>
  </r>
  <r>
    <n v="3486"/>
    <s v="Rafaela Souza"/>
    <s v="Core"/>
    <d v="2024-11-07T00:00:00"/>
    <x v="0"/>
    <n v="5"/>
    <s v="Monthly"/>
    <s v="No"/>
    <s v="-"/>
    <s v="No"/>
    <n v="0"/>
    <n v="0"/>
    <n v="5"/>
  </r>
  <r>
    <n v="3487"/>
    <s v="Sandro Almeida"/>
    <s v="Ultimate"/>
    <d v="2024-11-08T00:00:00"/>
    <x v="1"/>
    <n v="15"/>
    <s v="Quarterly"/>
    <s v="Yes"/>
    <n v="30"/>
    <s v="Yes"/>
    <n v="20"/>
    <n v="7"/>
    <n v="58"/>
  </r>
  <r>
    <n v="3488"/>
    <s v="Tânia Ribeiro"/>
    <s v="Standard"/>
    <d v="2024-11-09T00:00:00"/>
    <x v="0"/>
    <n v="10"/>
    <s v="Annual"/>
    <s v="No"/>
    <s v="-"/>
    <s v="Yes"/>
    <n v="20"/>
    <n v="10"/>
    <n v="20"/>
  </r>
  <r>
    <n v="3489"/>
    <s v="Ugo Dias"/>
    <s v="Core"/>
    <d v="2024-11-10T00:00:00"/>
    <x v="1"/>
    <n v="5"/>
    <s v="Quarterly"/>
    <s v="No"/>
    <s v="-"/>
    <s v="No"/>
    <n v="0"/>
    <n v="1"/>
    <n v="4"/>
  </r>
  <r>
    <n v="3490"/>
    <s v="Valéria Lima"/>
    <s v="Ultimate"/>
    <d v="2024-11-11T00:00:00"/>
    <x v="0"/>
    <n v="15"/>
    <s v="Monthly"/>
    <s v="Yes"/>
    <n v="30"/>
    <s v="Yes"/>
    <n v="20"/>
    <n v="15"/>
    <n v="50"/>
  </r>
  <r>
    <n v="3491"/>
    <s v="William Fernandes"/>
    <s v="Standard"/>
    <d v="2024-11-12T00:00:00"/>
    <x v="1"/>
    <n v="10"/>
    <s v="Monthly"/>
    <s v="No"/>
    <s v="-"/>
    <s v="Yes"/>
    <n v="20"/>
    <n v="5"/>
    <n v="25"/>
  </r>
  <r>
    <n v="3492"/>
    <s v="Xuxa Mendes"/>
    <s v="Core"/>
    <d v="2024-11-13T00:00:00"/>
    <x v="0"/>
    <n v="5"/>
    <s v="Annual"/>
    <s v="No"/>
    <s v="-"/>
    <s v="No"/>
    <n v="0"/>
    <n v="0"/>
    <n v="5"/>
  </r>
  <r>
    <n v="3493"/>
    <s v="Ygor Farias"/>
    <s v="Ultimate"/>
    <d v="2024-11-14T00:00:00"/>
    <x v="1"/>
    <n v="15"/>
    <s v="Quarterly"/>
    <s v="Yes"/>
    <n v="30"/>
    <s v="Yes"/>
    <n v="20"/>
    <n v="20"/>
    <n v="45"/>
  </r>
  <r>
    <n v="3494"/>
    <s v="Zilda Barros"/>
    <s v="Standard"/>
    <d v="2024-11-15T00:00:00"/>
    <x v="0"/>
    <n v="10"/>
    <s v="Quarterly"/>
    <s v="No"/>
    <s v="-"/>
    <s v="Yes"/>
    <n v="20"/>
    <n v="12"/>
    <n v="18"/>
  </r>
  <r>
    <n v="3495"/>
    <s v="Amanda Santos"/>
    <s v="Core"/>
    <d v="2024-11-16T00:00:00"/>
    <x v="1"/>
    <n v="5"/>
    <s v="Monthly"/>
    <s v="No"/>
    <s v="-"/>
    <s v="No"/>
    <n v="0"/>
    <n v="2"/>
    <n v="3"/>
  </r>
  <r>
    <n v="3496"/>
    <s v="Bruno Costa"/>
    <s v="Ultimate"/>
    <d v="2024-11-17T00:00:00"/>
    <x v="0"/>
    <n v="15"/>
    <s v="Annual"/>
    <s v="Yes"/>
    <n v="30"/>
    <s v="Yes"/>
    <n v="20"/>
    <n v="5"/>
    <n v="60"/>
  </r>
  <r>
    <n v="3497"/>
    <s v="Carla Rodrigues"/>
    <s v="Standard"/>
    <d v="2024-11-18T00:00:00"/>
    <x v="1"/>
    <n v="10"/>
    <s v="Monthly"/>
    <s v="No"/>
    <s v="-"/>
    <s v="Yes"/>
    <n v="20"/>
    <n v="10"/>
    <n v="20"/>
  </r>
  <r>
    <n v="3498"/>
    <s v="Diogo Pereira"/>
    <s v="Core"/>
    <d v="2024-11-19T00:00:00"/>
    <x v="0"/>
    <n v="5"/>
    <s v="Quarterly"/>
    <s v="No"/>
    <s v="-"/>
    <s v="No"/>
    <n v="0"/>
    <n v="0"/>
    <n v="5"/>
  </r>
  <r>
    <n v="3499"/>
    <s v="Elisa Correia"/>
    <s v="Ultimate"/>
    <d v="2024-11-20T00:00:00"/>
    <x v="1"/>
    <n v="15"/>
    <s v="Monthly"/>
    <s v="Yes"/>
    <n v="30"/>
    <s v="Yes"/>
    <n v="20"/>
    <n v="3"/>
    <n v="62"/>
  </r>
  <r>
    <n v="3500"/>
    <s v="Fábio Lourenço"/>
    <s v="Standard"/>
    <d v="2024-11-21T00:00:00"/>
    <x v="0"/>
    <n v="10"/>
    <s v="Annual"/>
    <s v="No"/>
    <s v="-"/>
    <s v="Yes"/>
    <n v="20"/>
    <n v="15"/>
    <n v="15"/>
  </r>
  <r>
    <n v="3501"/>
    <s v="Gabriela Neves"/>
    <s v="Core"/>
    <d v="2024-11-22T00:00:00"/>
    <x v="1"/>
    <n v="5"/>
    <s v="Monthly"/>
    <s v="No"/>
    <s v="-"/>
    <s v="No"/>
    <n v="0"/>
    <n v="1"/>
    <n v="4"/>
  </r>
  <r>
    <n v="3502"/>
    <s v="Henrique Gonçalves"/>
    <s v="Ultimate"/>
    <d v="2024-11-23T00:00:00"/>
    <x v="0"/>
    <n v="15"/>
    <s v="Quarterly"/>
    <s v="Yes"/>
    <n v="30"/>
    <s v="Yes"/>
    <n v="20"/>
    <n v="7"/>
    <n v="58"/>
  </r>
  <r>
    <n v="3503"/>
    <s v="Íris Santos"/>
    <s v="Standard"/>
    <d v="2024-11-24T00:00:00"/>
    <x v="1"/>
    <n v="10"/>
    <s v="Monthly"/>
    <s v="No"/>
    <s v="-"/>
    <s v="Yes"/>
    <n v="20"/>
    <n v="10"/>
    <n v="20"/>
  </r>
  <r>
    <n v="3504"/>
    <s v="João Marcelo Alves"/>
    <s v="Core"/>
    <d v="2024-11-25T00:00:00"/>
    <x v="0"/>
    <n v="5"/>
    <s v="Annual"/>
    <s v="No"/>
    <s v="-"/>
    <s v="No"/>
    <n v="0"/>
    <n v="0"/>
    <n v="5"/>
  </r>
  <r>
    <n v="3505"/>
    <s v="Klara Fonseca"/>
    <s v="Ultimate"/>
    <d v="2024-11-26T00:00:00"/>
    <x v="1"/>
    <n v="15"/>
    <s v="Monthly"/>
    <s v="Yes"/>
    <n v="30"/>
    <s v="Yes"/>
    <n v="20"/>
    <n v="20"/>
    <n v="45"/>
  </r>
  <r>
    <n v="3506"/>
    <s v="Lucas Mendonça"/>
    <s v="Standard"/>
    <d v="2024-11-27T00:00:00"/>
    <x v="0"/>
    <n v="10"/>
    <s v="Quarterly"/>
    <s v="No"/>
    <s v="-"/>
    <s v="Yes"/>
    <n v="20"/>
    <n v="15"/>
    <n v="15"/>
  </r>
  <r>
    <n v="3507"/>
    <s v="Marcela Torres"/>
    <s v="Core"/>
    <d v="2024-11-28T00:00:00"/>
    <x v="1"/>
    <n v="5"/>
    <s v="Monthly"/>
    <s v="No"/>
    <s v="-"/>
    <s v="No"/>
    <n v="0"/>
    <n v="1"/>
    <n v="4"/>
  </r>
  <r>
    <n v="3508"/>
    <s v="Natália Castro"/>
    <s v="Ultimate"/>
    <d v="2024-11-29T00:00:00"/>
    <x v="0"/>
    <n v="15"/>
    <s v="Annual"/>
    <s v="Yes"/>
    <n v="30"/>
    <s v="Yes"/>
    <n v="20"/>
    <n v="3"/>
    <n v="62"/>
  </r>
  <r>
    <n v="3509"/>
    <s v="Oscar Martins"/>
    <s v="Standard"/>
    <d v="2024-11-30T00:00:00"/>
    <x v="1"/>
    <n v="10"/>
    <s v="Monthly"/>
    <s v="No"/>
    <s v="-"/>
    <s v="Yes"/>
    <n v="20"/>
    <n v="10"/>
    <n v="20"/>
  </r>
  <r>
    <n v="3510"/>
    <s v="Patrícia Oliveira"/>
    <s v="Core"/>
    <d v="2024-12-01T00:00:00"/>
    <x v="0"/>
    <n v="5"/>
    <s v="Quarterly"/>
    <s v="No"/>
    <s v="-"/>
    <s v="No"/>
    <n v="0"/>
    <n v="0"/>
    <n v="5"/>
  </r>
  <r>
    <n v="3511"/>
    <s v="Quentin Nogueira"/>
    <s v="Ultimate"/>
    <d v="2024-12-02T00:00:00"/>
    <x v="1"/>
    <n v="15"/>
    <s v="Monthly"/>
    <s v="Yes"/>
    <n v="30"/>
    <s v="Yes"/>
    <n v="20"/>
    <n v="15"/>
    <n v="50"/>
  </r>
  <r>
    <n v="3512"/>
    <s v="Raquel Silva"/>
    <s v="Standard"/>
    <d v="2024-12-03T00:00:00"/>
    <x v="0"/>
    <n v="10"/>
    <s v="Annual"/>
    <s v="No"/>
    <s v="-"/>
    <s v="Yes"/>
    <n v="20"/>
    <n v="15"/>
    <n v="15"/>
  </r>
  <r>
    <n v="3513"/>
    <s v="Sandro Gomes"/>
    <s v="Core"/>
    <d v="2024-12-04T00:00:00"/>
    <x v="1"/>
    <n v="5"/>
    <s v="Monthly"/>
    <s v="No"/>
    <s v="-"/>
    <s v="No"/>
    <n v="0"/>
    <n v="1"/>
    <n v="4"/>
  </r>
  <r>
    <n v="3514"/>
    <s v="Tânia Machado"/>
    <s v="Ultimate"/>
    <d v="2024-12-05T00:00:00"/>
    <x v="0"/>
    <n v="15"/>
    <s v="Quarterly"/>
    <s v="Yes"/>
    <n v="30"/>
    <s v="Yes"/>
    <n v="20"/>
    <n v="7"/>
    <n v="58"/>
  </r>
  <r>
    <n v="3515"/>
    <s v="Ursula Silva"/>
    <s v="Standard"/>
    <d v="2024-12-06T00:00:00"/>
    <x v="1"/>
    <n v="10"/>
    <s v="Monthly"/>
    <s v="No"/>
    <s v="-"/>
    <s v="Yes"/>
    <n v="20"/>
    <n v="10"/>
    <n v="20"/>
  </r>
  <r>
    <n v="3516"/>
    <s v="Vanessa Moraes"/>
    <s v="Core"/>
    <d v="2024-12-07T00:00:00"/>
    <x v="0"/>
    <n v="5"/>
    <s v="Annual"/>
    <s v="No"/>
    <s v="-"/>
    <s v="No"/>
    <n v="0"/>
    <n v="0"/>
    <n v="5"/>
  </r>
  <r>
    <n v="3517"/>
    <s v="William Carvalho"/>
    <s v="Ultimate"/>
    <d v="2024-12-08T00:00:00"/>
    <x v="1"/>
    <n v="15"/>
    <s v="Monthly"/>
    <s v="Yes"/>
    <n v="30"/>
    <s v="Yes"/>
    <n v="20"/>
    <n v="20"/>
    <n v="45"/>
  </r>
  <r>
    <n v="3518"/>
    <s v="Xavier Reis"/>
    <s v="Standard"/>
    <d v="2024-12-09T00:00:00"/>
    <x v="0"/>
    <n v="10"/>
    <s v="Quarterly"/>
    <s v="No"/>
    <s v="-"/>
    <s v="Yes"/>
    <n v="20"/>
    <n v="12"/>
    <n v="18"/>
  </r>
  <r>
    <n v="3519"/>
    <s v="Yasmin Rocha"/>
    <s v="Core"/>
    <d v="2024-12-10T00:00:00"/>
    <x v="1"/>
    <n v="5"/>
    <s v="Monthly"/>
    <s v="No"/>
    <s v="-"/>
    <s v="No"/>
    <n v="0"/>
    <n v="2"/>
    <n v="3"/>
  </r>
  <r>
    <n v="3520"/>
    <s v="Zacarias Duarte"/>
    <s v="Ultimate"/>
    <d v="2024-12-11T00:00:00"/>
    <x v="0"/>
    <n v="15"/>
    <s v="Annual"/>
    <s v="Yes"/>
    <n v="30"/>
    <s v="Yes"/>
    <n v="20"/>
    <n v="5"/>
    <n v="60"/>
  </r>
  <r>
    <n v="3521"/>
    <s v="Amanda Freitas"/>
    <s v="Standard"/>
    <d v="2024-12-12T00:00:00"/>
    <x v="1"/>
    <n v="10"/>
    <s v="Monthly"/>
    <s v="No"/>
    <s v="-"/>
    <s v="Yes"/>
    <n v="20"/>
    <n v="10"/>
    <n v="20"/>
  </r>
  <r>
    <n v="3522"/>
    <s v="Bruno Almeida"/>
    <s v="Core"/>
    <d v="2024-12-13T00:00:00"/>
    <x v="0"/>
    <n v="5"/>
    <s v="Quarterly"/>
    <s v="No"/>
    <s v="-"/>
    <s v="No"/>
    <n v="0"/>
    <n v="0"/>
    <n v="5"/>
  </r>
  <r>
    <n v="3523"/>
    <s v="Carla Siqueira"/>
    <s v="Ultimate"/>
    <d v="2024-12-14T00:00:00"/>
    <x v="1"/>
    <n v="15"/>
    <s v="Monthly"/>
    <s v="Yes"/>
    <n v="30"/>
    <s v="Yes"/>
    <n v="20"/>
    <n v="3"/>
    <n v="62"/>
  </r>
  <r>
    <n v="3524"/>
    <s v="Diogo Ramos"/>
    <s v="Standard"/>
    <d v="2024-12-15T00:00:00"/>
    <x v="0"/>
    <n v="10"/>
    <s v="Annual"/>
    <s v="No"/>
    <s v="-"/>
    <s v="Yes"/>
    <n v="20"/>
    <n v="15"/>
    <n v="15"/>
  </r>
  <r>
    <n v="3525"/>
    <s v="Elisa Magalhães"/>
    <s v="Core"/>
    <d v="2024-12-16T00:00:00"/>
    <x v="1"/>
    <n v="5"/>
    <s v="Monthly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8ACF44-3B79-4A3D-8298-8A02A90FDE6F}" name="Tabela dinâmica1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7">
  <location ref="A4:B7" firstHeaderRow="1" firstDataRow="1" firstDataCol="1"/>
  <pivotFields count="13">
    <pivotField showAll="0"/>
    <pivotField showAll="0"/>
    <pivotField showAll="0"/>
    <pivotField numFmtId="14" showAll="0"/>
    <pivotField axis="axisRow" dataField="1" multipleItemSelectionAllowed="1" showAll="0">
      <items count="3">
        <item x="1"/>
        <item x="0"/>
        <item t="default"/>
      </items>
    </pivotField>
    <pivotField numFmtId="44" showAll="0"/>
    <pivotField showAll="0"/>
    <pivotField showAll="0"/>
    <pivotField showAll="0"/>
    <pivotField showAll="0"/>
    <pivotField numFmtId="44" showAll="0"/>
    <pivotField numFmtId="44" showAll="0"/>
    <pivotField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ntagem de Auto Renewal" fld="4" subtotal="count" baseField="0" baseItem="0"/>
  </dataFields>
  <chartFormats count="1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3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4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5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1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D135F2-EAAF-486E-912C-A9004893CE0C}" name="Tabela dinâmica2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9:B12" firstHeaderRow="1" firstDataRow="1" firstDataCol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showAll="0"/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oma de Total Value" fld="12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E5" sqref="E5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D1" zoomScale="90" zoomScaleNormal="90" workbookViewId="0">
      <selection activeCell="E5" sqref="E5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4:D12"/>
  <sheetViews>
    <sheetView showGridLines="0" workbookViewId="0">
      <selection activeCell="B9" sqref="B9"/>
    </sheetView>
  </sheetViews>
  <sheetFormatPr defaultRowHeight="14.4" x14ac:dyDescent="0.3"/>
  <cols>
    <col min="1" max="1" width="16.77734375" bestFit="1" customWidth="1"/>
    <col min="2" max="2" width="17.88671875" bestFit="1" customWidth="1"/>
    <col min="3" max="3" width="3.88671875" bestFit="1" customWidth="1"/>
    <col min="4" max="4" width="23.6640625" bestFit="1" customWidth="1"/>
    <col min="5" max="5" width="5.5546875" bestFit="1" customWidth="1"/>
    <col min="6" max="278" width="18.109375" bestFit="1" customWidth="1"/>
    <col min="279" max="279" width="10" bestFit="1" customWidth="1"/>
  </cols>
  <sheetData>
    <row r="4" spans="1:4" x14ac:dyDescent="0.3">
      <c r="A4" s="15" t="s">
        <v>315</v>
      </c>
      <c r="B4" t="s">
        <v>314</v>
      </c>
    </row>
    <row r="5" spans="1:4" x14ac:dyDescent="0.3">
      <c r="A5" s="16" t="s">
        <v>23</v>
      </c>
      <c r="B5" s="20">
        <v>146</v>
      </c>
    </row>
    <row r="6" spans="1:4" x14ac:dyDescent="0.3">
      <c r="A6" s="16" t="s">
        <v>19</v>
      </c>
      <c r="B6" s="20">
        <v>147</v>
      </c>
    </row>
    <row r="7" spans="1:4" x14ac:dyDescent="0.3">
      <c r="A7" s="16" t="s">
        <v>316</v>
      </c>
      <c r="B7" s="20">
        <v>293</v>
      </c>
      <c r="D7">
        <f>GETPIVOTDATA("Auto Renewal",$A$4)</f>
        <v>293</v>
      </c>
    </row>
    <row r="9" spans="1:4" x14ac:dyDescent="0.3">
      <c r="A9" s="15" t="s">
        <v>315</v>
      </c>
      <c r="B9" t="s">
        <v>317</v>
      </c>
    </row>
    <row r="10" spans="1:4" x14ac:dyDescent="0.3">
      <c r="A10" s="16" t="s">
        <v>23</v>
      </c>
      <c r="B10" s="17">
        <v>3847</v>
      </c>
      <c r="D10">
        <f>GETPIVOTDATA("Total Value",$A$9,"Auto Renewal","No")</f>
        <v>3847</v>
      </c>
    </row>
    <row r="11" spans="1:4" x14ac:dyDescent="0.3">
      <c r="A11" s="16" t="s">
        <v>19</v>
      </c>
      <c r="B11" s="17">
        <v>3786</v>
      </c>
      <c r="D11">
        <f>GETPIVOTDATA("Total Value",$A$9,"Auto Renewal","Yes")</f>
        <v>3786</v>
      </c>
    </row>
    <row r="12" spans="1:4" x14ac:dyDescent="0.3">
      <c r="A12" s="16" t="s">
        <v>316</v>
      </c>
      <c r="B12" s="17">
        <v>7633</v>
      </c>
    </row>
  </sheetData>
  <pageMargins left="0.511811024" right="0.511811024" top="0.78740157499999996" bottom="0.78740157499999996" header="0.31496062000000002" footer="0.3149606200000000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J76"/>
  <sheetViews>
    <sheetView showGridLines="0" tabSelected="1" zoomScale="80" zoomScaleNormal="80" workbookViewId="0">
      <selection activeCell="G4" sqref="G4"/>
    </sheetView>
  </sheetViews>
  <sheetFormatPr defaultRowHeight="14.4" x14ac:dyDescent="0.3"/>
  <cols>
    <col min="1" max="1" width="20" style="4" customWidth="1"/>
    <col min="2" max="2" width="3.5546875" customWidth="1"/>
    <col min="4" max="4" width="24.33203125" customWidth="1"/>
    <col min="7" max="7" width="10.44140625" bestFit="1" customWidth="1"/>
    <col min="12" max="12" width="6.5546875" customWidth="1"/>
  </cols>
  <sheetData>
    <row r="1" spans="1:36" ht="78" customHeight="1" x14ac:dyDescent="0.3">
      <c r="D1" s="13" t="s">
        <v>318</v>
      </c>
    </row>
    <row r="2" spans="1:36" ht="19.2" customHeight="1" x14ac:dyDescent="0.3">
      <c r="A2" s="14" t="s">
        <v>313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</row>
    <row r="3" spans="1:36" ht="8.25" customHeight="1" x14ac:dyDescent="0.3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</row>
    <row r="4" spans="1:36" x14ac:dyDescent="0.3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spans="1:36" ht="31.2" x14ac:dyDescent="0.6">
      <c r="A5" s="12"/>
      <c r="B5" s="7"/>
      <c r="C5" s="7"/>
      <c r="D5" s="19">
        <f>C̳álculos!D10</f>
        <v>3847</v>
      </c>
      <c r="E5" s="7"/>
      <c r="F5" s="7"/>
      <c r="G5" s="18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1:36" ht="9.75" customHeight="1" x14ac:dyDescent="0.3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spans="1:36" ht="33" customHeight="1" x14ac:dyDescent="0.3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</row>
    <row r="8" spans="1:36" x14ac:dyDescent="0.3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</row>
    <row r="9" spans="1:36" x14ac:dyDescent="0.3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</row>
    <row r="10" spans="1:36" x14ac:dyDescent="0.3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</row>
    <row r="11" spans="1:36" x14ac:dyDescent="0.3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</row>
    <row r="12" spans="1:36" x14ac:dyDescent="0.3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</row>
    <row r="13" spans="1:36" x14ac:dyDescent="0.3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</row>
    <row r="14" spans="1:36" x14ac:dyDescent="0.3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</row>
    <row r="15" spans="1:36" x14ac:dyDescent="0.3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</row>
    <row r="16" spans="1:36" x14ac:dyDescent="0.3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</row>
    <row r="17" spans="2:36" x14ac:dyDescent="0.3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</row>
    <row r="18" spans="2:36" x14ac:dyDescent="0.3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</row>
    <row r="19" spans="2:36" x14ac:dyDescent="0.3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</row>
    <row r="20" spans="2:36" x14ac:dyDescent="0.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</row>
    <row r="21" spans="2:36" x14ac:dyDescent="0.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</row>
    <row r="22" spans="2:36" x14ac:dyDescent="0.3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</row>
    <row r="23" spans="2:36" x14ac:dyDescent="0.3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</row>
    <row r="24" spans="2:36" x14ac:dyDescent="0.3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</row>
    <row r="25" spans="2:36" x14ac:dyDescent="0.3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</row>
    <row r="26" spans="2:36" x14ac:dyDescent="0.3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</row>
    <row r="27" spans="2:36" x14ac:dyDescent="0.3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</row>
    <row r="28" spans="2:36" x14ac:dyDescent="0.3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</row>
    <row r="29" spans="2:36" x14ac:dyDescent="0.3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</row>
    <row r="30" spans="2:36" x14ac:dyDescent="0.3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</row>
    <row r="31" spans="2:36" x14ac:dyDescent="0.3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</row>
    <row r="32" spans="2:36" x14ac:dyDescent="0.3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</row>
    <row r="33" spans="2:36" x14ac:dyDescent="0.3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</row>
    <row r="34" spans="2:36" x14ac:dyDescent="0.3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</row>
    <row r="35" spans="2:36" x14ac:dyDescent="0.3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</row>
    <row r="36" spans="2:36" x14ac:dyDescent="0.3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</row>
    <row r="37" spans="2:36" x14ac:dyDescent="0.3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</row>
    <row r="38" spans="2:36" x14ac:dyDescent="0.3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</row>
    <row r="39" spans="2:36" x14ac:dyDescent="0.3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</row>
    <row r="40" spans="2:36" x14ac:dyDescent="0.3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</row>
    <row r="41" spans="2:36" x14ac:dyDescent="0.3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</row>
    <row r="42" spans="2:36" x14ac:dyDescent="0.3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</row>
    <row r="43" spans="2:36" x14ac:dyDescent="0.3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</row>
    <row r="44" spans="2:36" x14ac:dyDescent="0.3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</row>
    <row r="45" spans="2:36" x14ac:dyDescent="0.3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</row>
    <row r="46" spans="2:36" x14ac:dyDescent="0.3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</row>
    <row r="47" spans="2:36" x14ac:dyDescent="0.3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</row>
    <row r="48" spans="2:36" x14ac:dyDescent="0.3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</row>
    <row r="49" spans="2:36" x14ac:dyDescent="0.3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</row>
    <row r="50" spans="2:36" x14ac:dyDescent="0.3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</row>
    <row r="51" spans="2:36" x14ac:dyDescent="0.3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</row>
    <row r="52" spans="2:36" x14ac:dyDescent="0.3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</row>
    <row r="53" spans="2:36" x14ac:dyDescent="0.3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</row>
    <row r="54" spans="2:36" x14ac:dyDescent="0.3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</row>
    <row r="55" spans="2:36" x14ac:dyDescent="0.3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</row>
    <row r="56" spans="2:36" x14ac:dyDescent="0.3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</row>
    <row r="57" spans="2:36" x14ac:dyDescent="0.3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</row>
    <row r="58" spans="2:36" x14ac:dyDescent="0.3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</row>
    <row r="59" spans="2:36" x14ac:dyDescent="0.3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</row>
    <row r="60" spans="2:36" x14ac:dyDescent="0.3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</row>
    <row r="61" spans="2:36" x14ac:dyDescent="0.3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</row>
    <row r="62" spans="2:36" x14ac:dyDescent="0.3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</row>
    <row r="63" spans="2:36" x14ac:dyDescent="0.3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</row>
    <row r="64" spans="2:36" x14ac:dyDescent="0.3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</row>
    <row r="65" spans="2:36" x14ac:dyDescent="0.3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</row>
    <row r="66" spans="2:36" x14ac:dyDescent="0.3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</row>
    <row r="67" spans="2:36" x14ac:dyDescent="0.3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</row>
    <row r="68" spans="2:36" x14ac:dyDescent="0.3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</row>
    <row r="69" spans="2:36" x14ac:dyDescent="0.3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</row>
    <row r="70" spans="2:36" x14ac:dyDescent="0.3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</row>
    <row r="71" spans="2:36" x14ac:dyDescent="0.3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</row>
    <row r="72" spans="2:36" x14ac:dyDescent="0.3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</row>
    <row r="73" spans="2:36" x14ac:dyDescent="0.3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</row>
    <row r="74" spans="2:36" x14ac:dyDescent="0.3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</row>
    <row r="75" spans="2:36" x14ac:dyDescent="0.3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</row>
    <row r="76" spans="2:36" x14ac:dyDescent="0.3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Rodrigo Santos</cp:lastModifiedBy>
  <dcterms:created xsi:type="dcterms:W3CDTF">2024-12-19T13:13:10Z</dcterms:created>
  <dcterms:modified xsi:type="dcterms:W3CDTF">2026-05-12T17:43:35Z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